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530" windowHeight="81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<sst xmlns="http://schemas.openxmlformats.org/spreadsheetml/2006/main" count="177" uniqueCount="177">
  <si>
    <t>前日收盘价</t>
  </si>
  <si>
    <t>昨日收盘价</t>
  </si>
  <si>
    <t>今日收盘价</t>
  </si>
  <si>
    <t>昨日涨跌幅</t>
  </si>
  <si>
    <t>今日涨跌幅</t>
  </si>
  <si>
    <t>昨日成交量</t>
  </si>
  <si>
    <t>今日成交量</t>
  </si>
  <si>
    <t>A2605.DCE</t>
  </si>
  <si>
    <t>豆一2605</t>
  </si>
  <si>
    <t>AD2604.SHF</t>
  </si>
  <si>
    <t>铝合金2604</t>
  </si>
  <si>
    <t>AG2606.SHF</t>
  </si>
  <si>
    <t>沪银2606</t>
  </si>
  <si>
    <t>AL2605.SHF</t>
  </si>
  <si>
    <t>沪铝2605</t>
  </si>
  <si>
    <t>AO2605.SHF</t>
  </si>
  <si>
    <t>氧化铝2605</t>
  </si>
  <si>
    <t>AP605.CZC</t>
  </si>
  <si>
    <t>苹果2605</t>
  </si>
  <si>
    <t>AU2604.SHF</t>
  </si>
  <si>
    <t>沪金2604</t>
  </si>
  <si>
    <t>B2605.DCE</t>
  </si>
  <si>
    <t>豆二2605</t>
  </si>
  <si>
    <t>BB2605.DCE</t>
  </si>
  <si>
    <t>胶合板2605</t>
  </si>
  <si>
    <t>BC2604.INE</t>
  </si>
  <si>
    <t>国际铜2604</t>
  </si>
  <si>
    <t>BR2605.SHF</t>
  </si>
  <si>
    <t>合成橡胶2605</t>
  </si>
  <si>
    <t>BU2606.SHF</t>
  </si>
  <si>
    <t>沥青2606</t>
  </si>
  <si>
    <t>BZ2605.DCE</t>
  </si>
  <si>
    <t>纯苯2605</t>
  </si>
  <si>
    <t>C2605.DCE</t>
  </si>
  <si>
    <t>玉米2605</t>
  </si>
  <si>
    <t>CF605.CZC</t>
  </si>
  <si>
    <t>棉花2605</t>
  </si>
  <si>
    <t>CJ605.CZC</t>
  </si>
  <si>
    <t>红枣2605</t>
  </si>
  <si>
    <t>CS2605.DCE</t>
  </si>
  <si>
    <t>玉米淀粉2605</t>
  </si>
  <si>
    <t>CU2605.SHF</t>
  </si>
  <si>
    <t>沪铜2605</t>
  </si>
  <si>
    <t>CY605.CZC</t>
  </si>
  <si>
    <t>棉纱2605</t>
  </si>
  <si>
    <t>EB2605.DCE</t>
  </si>
  <si>
    <t>苯乙烯2605</t>
  </si>
  <si>
    <t>EC2604.INE</t>
  </si>
  <si>
    <t>欧线集运2604</t>
  </si>
  <si>
    <t>EG2605.DCE</t>
  </si>
  <si>
    <t>乙二醇2605</t>
  </si>
  <si>
    <t>FB2605.DCE</t>
  </si>
  <si>
    <t>纤维板2605</t>
  </si>
  <si>
    <t>FG605.CZC</t>
  </si>
  <si>
    <t>玻璃2605</t>
  </si>
  <si>
    <t>FU2605.SHF</t>
  </si>
  <si>
    <t>燃油2605</t>
  </si>
  <si>
    <t>HC2605.SHF</t>
  </si>
  <si>
    <t>热卷2605</t>
  </si>
  <si>
    <t>I2605.DCE</t>
  </si>
  <si>
    <t>铁矿石2605</t>
  </si>
  <si>
    <t>IC2606.CFE</t>
  </si>
  <si>
    <t>中证500 2606</t>
  </si>
  <si>
    <t>IF2606.CFE</t>
  </si>
  <si>
    <t>沪深300 2606</t>
  </si>
  <si>
    <t>IH2606.CFE</t>
  </si>
  <si>
    <t>上证50 2606</t>
  </si>
  <si>
    <t>IM2606.CFE</t>
  </si>
  <si>
    <t>中证1000 2606</t>
  </si>
  <si>
    <t>J2605.DCE</t>
  </si>
  <si>
    <t>焦炭2605</t>
  </si>
  <si>
    <t>JD2605.DCE</t>
  </si>
  <si>
    <t>鸡蛋2605</t>
  </si>
  <si>
    <t>JM2605.DCE</t>
  </si>
  <si>
    <t>焦煤2605</t>
  </si>
  <si>
    <t>L2605.DCE</t>
  </si>
  <si>
    <t>塑料2605</t>
  </si>
  <si>
    <t>L2605F.DCE</t>
  </si>
  <si>
    <t>塑料月均价2605</t>
  </si>
  <si>
    <t>LC2605.GFE</t>
  </si>
  <si>
    <t>碳酸锂2605</t>
  </si>
  <si>
    <t>LG2605.DCE</t>
  </si>
  <si>
    <t>原木2605</t>
  </si>
  <si>
    <t>LH2605.DCE</t>
  </si>
  <si>
    <t>生猪2605</t>
  </si>
  <si>
    <t>LU2605.INE</t>
  </si>
  <si>
    <t>低硫燃油2605</t>
  </si>
  <si>
    <t>M2605.DCE</t>
  </si>
  <si>
    <t>豆粕2605</t>
  </si>
  <si>
    <t>MA605.CZC</t>
  </si>
  <si>
    <t>甲醇2605</t>
  </si>
  <si>
    <t>NI2605.SHF</t>
  </si>
  <si>
    <t>沪镍2605</t>
  </si>
  <si>
    <t>NR2605.INE</t>
  </si>
  <si>
    <t>20号胶2605</t>
  </si>
  <si>
    <t>OI605.CZC</t>
  </si>
  <si>
    <t>菜油2605</t>
  </si>
  <si>
    <t>OP2604.SHF</t>
  </si>
  <si>
    <t>双胶纸2604</t>
  </si>
  <si>
    <t>P2605.DCE</t>
  </si>
  <si>
    <t>棕榈油2605</t>
  </si>
  <si>
    <t>PB2605.SHF</t>
  </si>
  <si>
    <t>沪铅2605</t>
  </si>
  <si>
    <t>PD2606.GFE</t>
  </si>
  <si>
    <t>钯2606</t>
  </si>
  <si>
    <t>PF606.CZC</t>
  </si>
  <si>
    <t>短纤2606</t>
  </si>
  <si>
    <t>PG2605.DCE</t>
  </si>
  <si>
    <t>LPG2605</t>
  </si>
  <si>
    <t>PK605.CZC</t>
  </si>
  <si>
    <t>花生2605</t>
  </si>
  <si>
    <t>PL605.CZC</t>
  </si>
  <si>
    <t>丙烯2605</t>
  </si>
  <si>
    <t>PP2605.DCE</t>
  </si>
  <si>
    <t>聚丙烯2605</t>
  </si>
  <si>
    <t>PP2605F.DCE</t>
  </si>
  <si>
    <t>聚丙烯月均价2605</t>
  </si>
  <si>
    <t>PR605.CZC</t>
  </si>
  <si>
    <t>瓶片2605</t>
  </si>
  <si>
    <t>PS2605.GFE</t>
  </si>
  <si>
    <t>多晶硅2605</t>
  </si>
  <si>
    <t>PT2606.GFE</t>
  </si>
  <si>
    <t>铂2606</t>
  </si>
  <si>
    <t>PX605.CZC</t>
  </si>
  <si>
    <t>对二甲苯2605</t>
  </si>
  <si>
    <t>RB2605.SHF</t>
  </si>
  <si>
    <t>螺纹钢2605</t>
  </si>
  <si>
    <t>RM605.CZC</t>
  </si>
  <si>
    <t>菜粕2605</t>
  </si>
  <si>
    <t>RR2605.DCE</t>
  </si>
  <si>
    <t>粳米2605</t>
  </si>
  <si>
    <t>RS609.CZC</t>
  </si>
  <si>
    <t>菜籽2609</t>
  </si>
  <si>
    <t>RU2605.SHF</t>
  </si>
  <si>
    <t>橡胶2605</t>
  </si>
  <si>
    <t>SA605.CZC</t>
  </si>
  <si>
    <t>纯碱2605</t>
  </si>
  <si>
    <t>SC2605.INE</t>
  </si>
  <si>
    <t>原油2605</t>
  </si>
  <si>
    <t>SF605.CZC</t>
  </si>
  <si>
    <t>硅铁2605</t>
  </si>
  <si>
    <t>SH605.CZC</t>
  </si>
  <si>
    <t>烧碱2605</t>
  </si>
  <si>
    <t>SI2605.GFE</t>
  </si>
  <si>
    <t>工业硅2605</t>
  </si>
  <si>
    <t>SM605.CZC</t>
  </si>
  <si>
    <t>锰硅2605</t>
  </si>
  <si>
    <t>SN2604.SHF</t>
  </si>
  <si>
    <t>沪锡2604</t>
  </si>
  <si>
    <t>SP2605.SHF</t>
  </si>
  <si>
    <t>纸浆2605</t>
  </si>
  <si>
    <t>SR605.CZC</t>
  </si>
  <si>
    <t>白糖2605</t>
  </si>
  <si>
    <t>SS2605.SHF</t>
  </si>
  <si>
    <t>不锈钢2605</t>
  </si>
  <si>
    <t>T2606.CFE</t>
  </si>
  <si>
    <t>十年国债2606</t>
  </si>
  <si>
    <t>TA605.CZC</t>
  </si>
  <si>
    <t>PTA2605</t>
  </si>
  <si>
    <t>TF2606.CFE</t>
  </si>
  <si>
    <t>五年国债2606</t>
  </si>
  <si>
    <t>TL2606.CFE</t>
  </si>
  <si>
    <t>三十年国债2606</t>
  </si>
  <si>
    <t>TS2606.CFE</t>
  </si>
  <si>
    <t>二年国债2606</t>
  </si>
  <si>
    <t>UR605.CZC</t>
  </si>
  <si>
    <t>尿素2605</t>
  </si>
  <si>
    <t>V2605.DCE</t>
  </si>
  <si>
    <t>PVC2605</t>
  </si>
  <si>
    <t>V2605F.DCE</t>
  </si>
  <si>
    <t>PVC月均价2605</t>
  </si>
  <si>
    <t>WR2605.SHF</t>
  </si>
  <si>
    <t>线材2605</t>
  </si>
  <si>
    <t>Y2605.DCE</t>
  </si>
  <si>
    <t>豆油2605</t>
  </si>
  <si>
    <t>ZN2605.SHF</t>
  </si>
  <si>
    <t>沪锌2605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</si>
</sst>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4" fontId="0" fillId="0" borderId="0" xfId="0" applyNumberFormat="1">
      <alignment vertical="center"/>
    </xf>
    <xf numFmtId="49" fontId="0" fillId="0" borderId="0" xfId="0" applyNumberFormat="1">
      <alignment vertical="center"/>
    </xf>
    <xf numFmtId="10" fontId="0" fillId="0" borderId="0" xfId="0" applyNumberFormat="1">
      <alignment vertical="center"/>
    </xf>
    <xf numFmtId="176" fontId="0" fillId="0" borderId="0" xfId="0" applyNumberFormat="1" applyAlignment="1">
      <alignment horizontal="right"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87"/>
  <sheetViews>
    <sheetView tabSelected="1" workbookViewId="0">
      <selection activeCell="L5" sqref="L5"/>
    </sheetView>
  </sheetViews>
  <sheetFormatPr defaultColWidth="9" defaultRowHeight="14"/>
  <cols>
    <col min="1" max="1" width="10.6363636363636"/>
    <col min="4" max="6" width="10.6363636363636" customWidth="1"/>
    <col min="7" max="7" width="14"/>
    <col min="8" max="8" width="12.6363636363636" customWidth="1"/>
    <col min="9" max="9" width="14" customWidth="1"/>
    <col min="10" max="10" width="11.8181818181818" customWidth="1"/>
  </cols>
  <sheetData>
    <row r="1" spans="1:6">
      <c r="A1" s="1">
        <f ca="1">TODAY()</f>
        <v>46105</v>
      </c>
      <c r="D1" s="1">
        <f ca="1">WORKDAY(A1,-2)</f>
        <v>46101</v>
      </c>
      <c r="E1" s="1">
        <f ca="1">WORKDAY(A1,-1)</f>
        <v>46104</v>
      </c>
      <c r="F1" s="1">
        <f ca="1">A1</f>
        <v>46105</v>
      </c>
    </row>
    <row r="2" spans="4:10">
      <c r="D2" t="s">
        <v>0</v>
      </c>
      <c r="E2" t="s">
        <v>1</v>
      </c>
      <c r="F2" t="s">
        <v>2</v>
      </c>
      <c r="G2" t="s">
        <v>3</v>
      </c>
      <c r="H2" t="s">
        <v>4</v>
      </c>
      <c r="I2" t="s">
        <v>5</v>
      </c>
      <c r="J2" t="s">
        <v>6</v>
      </c>
    </row>
    <row r="3" spans="2:10">
      <c r="B3" s="2" t="s">
        <v>7</v>
      </c>
      <c r="C3" s="2" t="s">
        <v>8</v>
      </c>
      <c r="D3">
        <f ca="1">thsiFinD("ths_close_price_stock",$B3,$D$1,"100","")</f>
        <v>4810</v>
      </c>
      <c r="E3">
        <f ca="1">thsiFinD("ths_close_price_stock",$B3,$E$1,"100","")</f>
        <v>4770</v>
      </c>
      <c r="F3">
        <f ca="1">thsiFinD("ths_close_price_stock",$B3,$F$1,"100","")</f>
        <v>4770</v>
      </c>
      <c r="G3" s="3">
        <f ca="1">E3/D3-1</f>
        <v>-0.00831600831600832</v>
      </c>
      <c r="H3" s="3">
        <f ca="1">F3/E3-1</f>
        <v>0</v>
      </c>
      <c r="I3" s="4">
        <f ca="1">thsiFinD("ths_vol_future",B3,$E$1)</f>
        <v>149257</v>
      </c>
      <c r="J3" s="5">
        <f ca="1">thsiFinD("ths_vol_future",B3,$F$1)</f>
        <v>197568</v>
      </c>
    </row>
    <row r="4" spans="2:10">
      <c r="B4" s="2" t="s">
        <v>9</v>
      </c>
      <c r="C4" s="2" t="s">
        <v>10</v>
      </c>
      <c r="D4">
        <f ca="1">thsiFinD("ths_close_price_stock",$B4,$D$1,"100","")</f>
        <v>22810</v>
      </c>
      <c r="E4">
        <f ca="1">thsiFinD("ths_close_price_stock",$B4,$E$1,"100","")</f>
        <v>22525</v>
      </c>
      <c r="F4">
        <f ca="1">thsiFinD("ths_close_price_stock",$B4,$F$1,"100","")</f>
        <v>22585</v>
      </c>
      <c r="G4" s="3">
        <f ca="1" t="shared" ref="G4:G35" si="0">E4/D4-1</f>
        <v>-0.0124945199473915</v>
      </c>
      <c r="H4" s="3">
        <f ca="1" t="shared" ref="H4:H35" si="1">F4/E4-1</f>
        <v>0.00266370699223084</v>
      </c>
      <c r="I4" s="4">
        <f ca="1">thsiFinD("ths_vol_future",B4,$E$1)</f>
        <v>7674</v>
      </c>
      <c r="J4" s="5">
        <f ca="1">thsiFinD("ths_vol_future",B4,$F$1)</f>
        <v>5228</v>
      </c>
    </row>
    <row r="5" spans="2:10">
      <c r="B5" s="2" t="s">
        <v>11</v>
      </c>
      <c r="C5" s="2" t="s">
        <v>12</v>
      </c>
      <c r="D5">
        <f ca="1">thsiFinD("ths_close_price_stock",$B5,$D$1,"100","")</f>
        <v>17625</v>
      </c>
      <c r="E5">
        <f ca="1">thsiFinD("ths_close_price_stock",$B5,$E$1,"100","")</f>
        <v>15411</v>
      </c>
      <c r="F5">
        <f ca="1">thsiFinD("ths_close_price_stock",$B5,$F$1,"100","")</f>
        <v>17085</v>
      </c>
      <c r="G5" s="3">
        <f ca="1" t="shared" si="0"/>
        <v>-0.125617021276596</v>
      </c>
      <c r="H5" s="3">
        <f ca="1" t="shared" si="1"/>
        <v>0.108623710336772</v>
      </c>
      <c r="I5" s="4">
        <f ca="1">thsiFinD("ths_vol_future",B5,$E$1)</f>
        <v>1259324</v>
      </c>
      <c r="J5" s="5">
        <f ca="1">thsiFinD("ths_vol_future",B5,$F$1)</f>
        <v>1247893</v>
      </c>
    </row>
    <row r="6" spans="2:10">
      <c r="B6" s="2" t="s">
        <v>13</v>
      </c>
      <c r="C6" s="2" t="s">
        <v>14</v>
      </c>
      <c r="D6">
        <f ca="1">thsiFinD("ths_close_price_stock",$B6,$D$1,"100","")</f>
        <v>24020</v>
      </c>
      <c r="E6">
        <f ca="1">thsiFinD("ths_close_price_stock",$B6,$E$1,"100","")</f>
        <v>23555</v>
      </c>
      <c r="F6">
        <f ca="1">thsiFinD("ths_close_price_stock",$B6,$F$1,"100","")</f>
        <v>23625</v>
      </c>
      <c r="G6" s="3">
        <f ca="1" t="shared" si="0"/>
        <v>-0.0193588676103247</v>
      </c>
      <c r="H6" s="3">
        <f ca="1" t="shared" si="1"/>
        <v>0.00297176820208023</v>
      </c>
      <c r="I6" s="4">
        <f ca="1">thsiFinD("ths_vol_future",B6,$E$1)</f>
        <v>585888</v>
      </c>
      <c r="J6" s="5">
        <f ca="1">thsiFinD("ths_vol_future",B6,$F$1)</f>
        <v>348478</v>
      </c>
    </row>
    <row r="7" spans="2:10">
      <c r="B7" s="2" t="s">
        <v>15</v>
      </c>
      <c r="C7" s="2" t="s">
        <v>16</v>
      </c>
      <c r="D7">
        <f ca="1">thsiFinD("ths_close_price_stock",$B7,$D$1,"100","")</f>
        <v>3041</v>
      </c>
      <c r="E7">
        <f ca="1">thsiFinD("ths_close_price_stock",$B7,$E$1,"100","")</f>
        <v>3093</v>
      </c>
      <c r="F7">
        <f ca="1">thsiFinD("ths_close_price_stock",$B7,$F$1,"100","")</f>
        <v>3014</v>
      </c>
      <c r="G7" s="3">
        <f ca="1" t="shared" si="0"/>
        <v>0.0170996382768827</v>
      </c>
      <c r="H7" s="3">
        <f ca="1" t="shared" si="1"/>
        <v>-0.0255415454251535</v>
      </c>
      <c r="I7" s="4">
        <f ca="1">thsiFinD("ths_vol_future",B7,$E$1)</f>
        <v>740278</v>
      </c>
      <c r="J7" s="5">
        <f ca="1">thsiFinD("ths_vol_future",B7,$F$1)</f>
        <v>525678</v>
      </c>
    </row>
    <row r="8" spans="2:10">
      <c r="B8" s="2" t="s">
        <v>17</v>
      </c>
      <c r="C8" s="2" t="s">
        <v>18</v>
      </c>
      <c r="D8">
        <f ca="1">thsiFinD("ths_close_price_stock",$B8,$D$1,"100","")</f>
        <v>10721</v>
      </c>
      <c r="E8">
        <f ca="1">thsiFinD("ths_close_price_stock",$B8,$E$1,"100","")</f>
        <v>10144</v>
      </c>
      <c r="F8">
        <f ca="1">thsiFinD("ths_close_price_stock",$B8,$F$1,"100","")</f>
        <v>10072</v>
      </c>
      <c r="G8" s="3">
        <f ca="1" t="shared" si="0"/>
        <v>-0.0538196063800018</v>
      </c>
      <c r="H8" s="3">
        <f ca="1" t="shared" si="1"/>
        <v>-0.00709779179810721</v>
      </c>
      <c r="I8" s="4">
        <f ca="1">thsiFinD("ths_vol_future",B8,$E$1)</f>
        <v>155325</v>
      </c>
      <c r="J8" s="5">
        <f ca="1">thsiFinD("ths_vol_future",B8,$F$1)</f>
        <v>147236</v>
      </c>
    </row>
    <row r="9" spans="2:10">
      <c r="B9" s="2" t="s">
        <v>19</v>
      </c>
      <c r="C9" s="2" t="s">
        <v>20</v>
      </c>
      <c r="D9">
        <f ca="1">thsiFinD("ths_close_price_stock",$B9,$D$1,"100","")</f>
        <v>1039.22</v>
      </c>
      <c r="E9">
        <f ca="1">thsiFinD("ths_close_price_stock",$B9,$E$1,"100","")</f>
        <v>940</v>
      </c>
      <c r="F9">
        <f ca="1">thsiFinD("ths_close_price_stock",$B9,$F$1,"100","")</f>
        <v>977.28</v>
      </c>
      <c r="G9" s="3">
        <f ca="1" t="shared" si="0"/>
        <v>-0.0954754527434037</v>
      </c>
      <c r="H9" s="3">
        <f ca="1" t="shared" si="1"/>
        <v>0.039659574468085</v>
      </c>
      <c r="I9" s="4">
        <f ca="1">thsiFinD("ths_vol_future",B9,$E$1)</f>
        <v>386422</v>
      </c>
      <c r="J9" s="5">
        <f ca="1">thsiFinD("ths_vol_future",B9,$F$1)</f>
        <v>282408</v>
      </c>
    </row>
    <row r="10" spans="2:10">
      <c r="B10" s="2" t="s">
        <v>21</v>
      </c>
      <c r="C10" s="2" t="s">
        <v>22</v>
      </c>
      <c r="D10">
        <f ca="1">thsiFinD("ths_close_price_stock",$B10,$D$1,"100","")</f>
        <v>3813</v>
      </c>
      <c r="E10">
        <f ca="1">thsiFinD("ths_close_price_stock",$B10,$E$1,"100","")</f>
        <v>3813</v>
      </c>
      <c r="F10">
        <f ca="1">thsiFinD("ths_close_price_stock",$B10,$F$1,"100","")</f>
        <v>3743</v>
      </c>
      <c r="G10" s="3">
        <f ca="1" t="shared" si="0"/>
        <v>0</v>
      </c>
      <c r="H10" s="3">
        <f ca="1" t="shared" si="1"/>
        <v>-0.01835824809861</v>
      </c>
      <c r="I10" s="4">
        <f ca="1">thsiFinD("ths_vol_future",B10,$E$1)</f>
        <v>138627</v>
      </c>
      <c r="J10" s="5">
        <f ca="1">thsiFinD("ths_vol_future",B10,$F$1)</f>
        <v>142801</v>
      </c>
    </row>
    <row r="11" spans="2:10">
      <c r="B11" s="2" t="s">
        <v>23</v>
      </c>
      <c r="C11" s="2" t="s">
        <v>24</v>
      </c>
      <c r="D11">
        <f ca="1">thsiFinD("ths_close_price_stock",$B11,$D$1,"100","")</f>
        <v>151.8</v>
      </c>
      <c r="E11">
        <f ca="1">thsiFinD("ths_close_price_stock",$B11,$E$1,"100","")</f>
        <v>152.25</v>
      </c>
      <c r="F11">
        <f ca="1">thsiFinD("ths_close_price_stock",$B11,$F$1,"100","")</f>
        <v>148.95</v>
      </c>
      <c r="G11" s="3">
        <f ca="1" t="shared" si="0"/>
        <v>0.00296442687747023</v>
      </c>
      <c r="H11" s="3">
        <f ca="1" t="shared" si="1"/>
        <v>-0.0216748768472907</v>
      </c>
      <c r="I11" s="4">
        <f ca="1">thsiFinD("ths_vol_future",B11,$E$1)</f>
        <v>47</v>
      </c>
      <c r="J11" s="5">
        <f ca="1">thsiFinD("ths_vol_future",B11,$F$1)</f>
        <v>172</v>
      </c>
    </row>
    <row r="12" spans="2:10">
      <c r="B12" s="2" t="s">
        <v>25</v>
      </c>
      <c r="C12" s="2" t="s">
        <v>26</v>
      </c>
      <c r="D12">
        <f ca="1">thsiFinD("ths_close_price_stock",$B12,$D$1,"100","")</f>
        <v>83810</v>
      </c>
      <c r="E12">
        <f ca="1">thsiFinD("ths_close_price_stock",$B12,$E$1,"100","")</f>
        <v>81380</v>
      </c>
      <c r="F12">
        <f ca="1">thsiFinD("ths_close_price_stock",$B12,$F$1,"100","")</f>
        <v>83170</v>
      </c>
      <c r="G12" s="3">
        <f ca="1" t="shared" si="0"/>
        <v>-0.0289941534423099</v>
      </c>
      <c r="H12" s="3">
        <f ca="1" t="shared" si="1"/>
        <v>0.0219955763086754</v>
      </c>
      <c r="I12" s="4">
        <f ca="1">thsiFinD("ths_vol_future",B12,$E$1)</f>
        <v>6767</v>
      </c>
      <c r="J12" s="5">
        <f ca="1">thsiFinD("ths_vol_future",B12,$F$1)</f>
        <v>6412</v>
      </c>
    </row>
    <row r="13" spans="2:10">
      <c r="B13" s="2" t="s">
        <v>27</v>
      </c>
      <c r="C13" s="2" t="s">
        <v>28</v>
      </c>
      <c r="D13">
        <f ca="1">thsiFinD("ths_close_price_stock",$B13,$D$1,"100","")</f>
        <v>15985</v>
      </c>
      <c r="E13">
        <f ca="1">thsiFinD("ths_close_price_stock",$B13,$E$1,"100","")</f>
        <v>17470</v>
      </c>
      <c r="F13">
        <f ca="1">thsiFinD("ths_close_price_stock",$B13,$F$1,"100","")</f>
        <v>16800</v>
      </c>
      <c r="G13" s="3">
        <f ca="1" t="shared" si="0"/>
        <v>0.0928995933687833</v>
      </c>
      <c r="H13" s="3">
        <f ca="1" t="shared" si="1"/>
        <v>-0.0383514596451059</v>
      </c>
      <c r="I13" s="4">
        <f ca="1">thsiFinD("ths_vol_future",B13,$E$1)</f>
        <v>493113</v>
      </c>
      <c r="J13" s="5">
        <f ca="1">thsiFinD("ths_vol_future",B13,$F$1)</f>
        <v>597751</v>
      </c>
    </row>
    <row r="14" spans="2:10">
      <c r="B14" s="2" t="s">
        <v>29</v>
      </c>
      <c r="C14" s="2" t="s">
        <v>30</v>
      </c>
      <c r="D14">
        <f ca="1">thsiFinD("ths_close_price_stock",$B14,$D$1,"100","")</f>
        <v>4457</v>
      </c>
      <c r="E14">
        <f ca="1">thsiFinD("ths_close_price_stock",$B14,$E$1,"100","")</f>
        <v>4661</v>
      </c>
      <c r="F14">
        <f ca="1">thsiFinD("ths_close_price_stock",$B14,$F$1,"100","")</f>
        <v>4401</v>
      </c>
      <c r="G14" s="3">
        <f ca="1" t="shared" si="0"/>
        <v>0.0457706977787751</v>
      </c>
      <c r="H14" s="3">
        <f ca="1" t="shared" si="1"/>
        <v>-0.055782021025531</v>
      </c>
      <c r="I14" s="4">
        <f ca="1">thsiFinD("ths_vol_future",B14,$E$1)</f>
        <v>869133</v>
      </c>
      <c r="J14" s="5">
        <f ca="1">thsiFinD("ths_vol_future",B14,$F$1)</f>
        <v>1047662</v>
      </c>
    </row>
    <row r="15" spans="2:10">
      <c r="B15" s="2" t="s">
        <v>31</v>
      </c>
      <c r="C15" s="2" t="s">
        <v>32</v>
      </c>
      <c r="D15">
        <f ca="1">thsiFinD("ths_close_price_stock",$B15,$D$1,"100","")</f>
        <v>8333</v>
      </c>
      <c r="E15">
        <f ca="1">thsiFinD("ths_close_price_stock",$B15,$E$1,"100","")</f>
        <v>9205</v>
      </c>
      <c r="F15">
        <f ca="1">thsiFinD("ths_close_price_stock",$B15,$F$1,"100","")</f>
        <v>8501</v>
      </c>
      <c r="G15" s="3">
        <f ca="1" t="shared" si="0"/>
        <v>0.104644185767431</v>
      </c>
      <c r="H15" s="3">
        <f ca="1" t="shared" si="1"/>
        <v>-0.0764801738185769</v>
      </c>
      <c r="I15" s="4">
        <f ca="1">thsiFinD("ths_vol_future",B15,$E$1)</f>
        <v>37727</v>
      </c>
      <c r="J15" s="5">
        <f ca="1">thsiFinD("ths_vol_future",B15,$F$1)</f>
        <v>39200</v>
      </c>
    </row>
    <row r="16" spans="2:10">
      <c r="B16" s="2" t="s">
        <v>33</v>
      </c>
      <c r="C16" s="2" t="s">
        <v>34</v>
      </c>
      <c r="D16">
        <f ca="1">thsiFinD("ths_close_price_stock",$B16,$D$1,"100","")</f>
        <v>2387</v>
      </c>
      <c r="E16">
        <f ca="1">thsiFinD("ths_close_price_stock",$B16,$E$1,"100","")</f>
        <v>2415</v>
      </c>
      <c r="F16">
        <f ca="1">thsiFinD("ths_close_price_stock",$B16,$F$1,"100","")</f>
        <v>2383</v>
      </c>
      <c r="G16" s="3">
        <f ca="1" t="shared" si="0"/>
        <v>0.0117302052785924</v>
      </c>
      <c r="H16" s="3">
        <f ca="1" t="shared" si="1"/>
        <v>-0.0132505175983437</v>
      </c>
      <c r="I16" s="4">
        <f ca="1">thsiFinD("ths_vol_future",B16,$E$1)</f>
        <v>1176931</v>
      </c>
      <c r="J16" s="5">
        <f ca="1">thsiFinD("ths_vol_future",B16,$F$1)</f>
        <v>802669</v>
      </c>
    </row>
    <row r="17" spans="2:10">
      <c r="B17" s="2" t="s">
        <v>35</v>
      </c>
      <c r="C17" s="2" t="s">
        <v>36</v>
      </c>
      <c r="D17">
        <f ca="1">thsiFinD("ths_close_price_stock",$B17,$D$1,"100","")</f>
        <v>15215</v>
      </c>
      <c r="E17">
        <f ca="1">thsiFinD("ths_close_price_stock",$B17,$E$1,"100","")</f>
        <v>15280</v>
      </c>
      <c r="F17">
        <f ca="1">thsiFinD("ths_close_price_stock",$B17,$F$1,"100","")</f>
        <v>15215</v>
      </c>
      <c r="G17" s="3">
        <f ca="1" t="shared" si="0"/>
        <v>0.00427209990141297</v>
      </c>
      <c r="H17" s="3">
        <f ca="1" t="shared" si="1"/>
        <v>-0.00425392670157065</v>
      </c>
      <c r="I17" s="4">
        <f ca="1">thsiFinD("ths_vol_future",B17,$E$1)</f>
        <v>359928</v>
      </c>
      <c r="J17" s="5">
        <f ca="1">thsiFinD("ths_vol_future",B17,$F$1)</f>
        <v>242946</v>
      </c>
    </row>
    <row r="18" spans="2:10">
      <c r="B18" s="2" t="s">
        <v>37</v>
      </c>
      <c r="C18" s="2" t="s">
        <v>38</v>
      </c>
      <c r="D18">
        <f ca="1">thsiFinD("ths_close_price_stock",$B18,$D$1,"100","")</f>
        <v>8840</v>
      </c>
      <c r="E18">
        <f ca="1">thsiFinD("ths_close_price_stock",$B18,$E$1,"100","")</f>
        <v>8860</v>
      </c>
      <c r="F18">
        <f ca="1">thsiFinD("ths_close_price_stock",$B18,$F$1,"100","")</f>
        <v>8925</v>
      </c>
      <c r="G18" s="3">
        <f ca="1" t="shared" si="0"/>
        <v>0.00226244343891402</v>
      </c>
      <c r="H18" s="3">
        <f ca="1" t="shared" si="1"/>
        <v>0.0073363431151241</v>
      </c>
      <c r="I18" s="4">
        <f ca="1">thsiFinD("ths_vol_future",B18,$E$1)</f>
        <v>92029</v>
      </c>
      <c r="J18" s="5">
        <f ca="1">thsiFinD("ths_vol_future",B18,$F$1)</f>
        <v>67236</v>
      </c>
    </row>
    <row r="19" spans="2:10">
      <c r="B19" s="2" t="s">
        <v>39</v>
      </c>
      <c r="C19" s="2" t="s">
        <v>40</v>
      </c>
      <c r="D19">
        <f ca="1">thsiFinD("ths_close_price_stock",$B19,$D$1,"100","")</f>
        <v>2798</v>
      </c>
      <c r="E19">
        <f ca="1">thsiFinD("ths_close_price_stock",$B19,$E$1,"100","")</f>
        <v>2805</v>
      </c>
      <c r="F19">
        <f ca="1">thsiFinD("ths_close_price_stock",$B19,$F$1,"100","")</f>
        <v>2772</v>
      </c>
      <c r="G19" s="3">
        <f ca="1" t="shared" si="0"/>
        <v>0.00250178699070758</v>
      </c>
      <c r="H19" s="3">
        <f ca="1" t="shared" si="1"/>
        <v>-0.0117647058823529</v>
      </c>
      <c r="I19" s="4">
        <f ca="1">thsiFinD("ths_vol_future",B19,$E$1)</f>
        <v>304664</v>
      </c>
      <c r="J19" s="5">
        <f ca="1">thsiFinD("ths_vol_future",B19,$F$1)</f>
        <v>211050</v>
      </c>
    </row>
    <row r="20" spans="2:10">
      <c r="B20" s="2" t="s">
        <v>41</v>
      </c>
      <c r="C20" s="2" t="s">
        <v>42</v>
      </c>
      <c r="D20">
        <f ca="1">thsiFinD("ths_close_price_stock",$B20,$D$1,"100","")</f>
        <v>94740</v>
      </c>
      <c r="E20">
        <f ca="1">thsiFinD("ths_close_price_stock",$B20,$E$1,"100","")</f>
        <v>92100</v>
      </c>
      <c r="F20">
        <f ca="1">thsiFinD("ths_close_price_stock",$B20,$F$1,"100","")</f>
        <v>94030</v>
      </c>
      <c r="G20" s="3">
        <f ca="1" t="shared" si="0"/>
        <v>-0.0278657378087397</v>
      </c>
      <c r="H20" s="3">
        <f ca="1" t="shared" si="1"/>
        <v>0.0209554831704668</v>
      </c>
      <c r="I20" s="4">
        <f ca="1">thsiFinD("ths_vol_future",B20,$E$1)</f>
        <v>215827</v>
      </c>
      <c r="J20" s="5">
        <f ca="1">thsiFinD("ths_vol_future",B20,$F$1)</f>
        <v>197987</v>
      </c>
    </row>
    <row r="21" spans="2:10">
      <c r="B21" s="2" t="s">
        <v>43</v>
      </c>
      <c r="C21" s="2" t="s">
        <v>44</v>
      </c>
      <c r="D21">
        <f ca="1">thsiFinD("ths_close_price_stock",$B21,$D$1,"100","")</f>
        <v>21475</v>
      </c>
      <c r="E21">
        <f ca="1">thsiFinD("ths_close_price_stock",$B21,$E$1,"100","")</f>
        <v>21535</v>
      </c>
      <c r="F21">
        <f ca="1">thsiFinD("ths_close_price_stock",$B21,$F$1,"100","")</f>
        <v>21555</v>
      </c>
      <c r="G21" s="3">
        <f ca="1" t="shared" si="0"/>
        <v>0.00279394644935982</v>
      </c>
      <c r="H21" s="3">
        <f ca="1" t="shared" si="1"/>
        <v>0.000928720687253248</v>
      </c>
      <c r="I21" s="4">
        <f ca="1">thsiFinD("ths_vol_future",B21,$E$1)</f>
        <v>11601</v>
      </c>
      <c r="J21" s="5">
        <f ca="1">thsiFinD("ths_vol_future",B21,$F$1)</f>
        <v>9840</v>
      </c>
    </row>
    <row r="22" spans="2:10">
      <c r="B22" s="2" t="s">
        <v>45</v>
      </c>
      <c r="C22" s="2" t="s">
        <v>46</v>
      </c>
      <c r="D22">
        <f ca="1">thsiFinD("ths_close_price_stock",$B22,$D$1,"100","")</f>
        <v>10151</v>
      </c>
      <c r="E22">
        <f ca="1">thsiFinD("ths_close_price_stock",$B22,$E$1,"100","")</f>
        <v>11070</v>
      </c>
      <c r="F22">
        <f ca="1">thsiFinD("ths_close_price_stock",$B22,$F$1,"100","")</f>
        <v>10242</v>
      </c>
      <c r="G22" s="3">
        <f ca="1" t="shared" si="0"/>
        <v>0.090532952418481</v>
      </c>
      <c r="H22" s="3">
        <f ca="1" t="shared" si="1"/>
        <v>-0.0747967479674797</v>
      </c>
      <c r="I22" s="4">
        <f ca="1">thsiFinD("ths_vol_future",B22,$E$1)</f>
        <v>835232</v>
      </c>
      <c r="J22" s="5">
        <f ca="1">thsiFinD("ths_vol_future",B22,$F$1)</f>
        <v>888114</v>
      </c>
    </row>
    <row r="23" spans="2:10">
      <c r="B23" s="2" t="s">
        <v>47</v>
      </c>
      <c r="C23" s="2" t="s">
        <v>48</v>
      </c>
      <c r="D23">
        <f ca="1">thsiFinD("ths_close_price_stock",$B23,$D$1,"100","")</f>
        <v>1944</v>
      </c>
      <c r="E23">
        <f ca="1">thsiFinD("ths_close_price_stock",$B23,$E$1,"100","")</f>
        <v>1957.4</v>
      </c>
      <c r="F23">
        <f ca="1">thsiFinD("ths_close_price_stock",$B23,$F$1,"100","")</f>
        <v>1898.9</v>
      </c>
      <c r="G23" s="3">
        <f ca="1" t="shared" si="0"/>
        <v>0.00689300411522642</v>
      </c>
      <c r="H23" s="3">
        <f ca="1" t="shared" si="1"/>
        <v>-0.0298865842444058</v>
      </c>
      <c r="I23" s="4">
        <f ca="1">thsiFinD("ths_vol_future",B23,$E$1)</f>
        <v>36453</v>
      </c>
      <c r="J23" s="5">
        <f ca="1">thsiFinD("ths_vol_future",B23,$F$1)</f>
        <v>18908</v>
      </c>
    </row>
    <row r="24" spans="2:10">
      <c r="B24" s="2" t="s">
        <v>49</v>
      </c>
      <c r="C24" s="2" t="s">
        <v>50</v>
      </c>
      <c r="D24">
        <f ca="1">thsiFinD("ths_close_price_stock",$B24,$D$1,"100","")</f>
        <v>5353</v>
      </c>
      <c r="E24">
        <f ca="1">thsiFinD("ths_close_price_stock",$B24,$E$1,"100","")</f>
        <v>5574</v>
      </c>
      <c r="F24">
        <f ca="1">thsiFinD("ths_close_price_stock",$B24,$F$1,"100","")</f>
        <v>5119</v>
      </c>
      <c r="G24" s="3">
        <f ca="1" t="shared" si="0"/>
        <v>0.0412852606015319</v>
      </c>
      <c r="H24" s="3">
        <f ca="1" t="shared" si="1"/>
        <v>-0.0816289917473987</v>
      </c>
      <c r="I24" s="4">
        <f ca="1">thsiFinD("ths_vol_future",B24,$E$1)</f>
        <v>861915</v>
      </c>
      <c r="J24" s="5">
        <f ca="1">thsiFinD("ths_vol_future",B24,$F$1)</f>
        <v>822904</v>
      </c>
    </row>
    <row r="25" spans="2:10">
      <c r="B25" s="2" t="s">
        <v>51</v>
      </c>
      <c r="C25" s="2" t="s">
        <v>52</v>
      </c>
      <c r="D25">
        <f ca="1">thsiFinD("ths_close_price_stock",$B25,$D$1,"100","")</f>
        <v>1308</v>
      </c>
      <c r="E25">
        <f ca="1">thsiFinD("ths_close_price_stock",$B25,$E$1,"100","")</f>
        <v>1330.5</v>
      </c>
      <c r="F25">
        <f ca="1">thsiFinD("ths_close_price_stock",$B25,$F$1,"100","")</f>
        <v>1331.5</v>
      </c>
      <c r="G25" s="3">
        <f ca="1" t="shared" si="0"/>
        <v>0.0172018348623852</v>
      </c>
      <c r="H25" s="3">
        <f ca="1" t="shared" si="1"/>
        <v>0.000751597143930915</v>
      </c>
      <c r="I25" s="4">
        <f ca="1">thsiFinD("ths_vol_future",B25,$E$1)</f>
        <v>4257</v>
      </c>
      <c r="J25" s="5">
        <f ca="1">thsiFinD("ths_vol_future",B25,$F$1)</f>
        <v>4391</v>
      </c>
    </row>
    <row r="26" spans="2:10">
      <c r="B26" s="2" t="s">
        <v>53</v>
      </c>
      <c r="C26" s="2" t="s">
        <v>54</v>
      </c>
      <c r="D26">
        <f ca="1">thsiFinD("ths_close_price_stock",$B26,$D$1,"100","")</f>
        <v>1054</v>
      </c>
      <c r="E26">
        <f ca="1">thsiFinD("ths_close_price_stock",$B26,$E$1,"100","")</f>
        <v>1082</v>
      </c>
      <c r="F26">
        <f ca="1">thsiFinD("ths_close_price_stock",$B26,$F$1,"100","")</f>
        <v>1064</v>
      </c>
      <c r="G26" s="3">
        <f ca="1" t="shared" si="0"/>
        <v>0.0265654648956357</v>
      </c>
      <c r="H26" s="3">
        <f ca="1" t="shared" si="1"/>
        <v>-0.0166358595194085</v>
      </c>
      <c r="I26" s="4">
        <f ca="1">thsiFinD("ths_vol_future",B26,$E$1)</f>
        <v>1341595</v>
      </c>
      <c r="J26" s="5">
        <f ca="1">thsiFinD("ths_vol_future",B26,$F$1)</f>
        <v>944467</v>
      </c>
    </row>
    <row r="27" spans="2:10">
      <c r="B27" s="2" t="s">
        <v>55</v>
      </c>
      <c r="C27" s="2" t="s">
        <v>56</v>
      </c>
      <c r="D27">
        <f ca="1">thsiFinD("ths_close_price_stock",$B27,$D$1,"100","")</f>
        <v>4756</v>
      </c>
      <c r="E27">
        <f ca="1">thsiFinD("ths_close_price_stock",$B27,$E$1,"100","")</f>
        <v>5060</v>
      </c>
      <c r="F27">
        <f ca="1">thsiFinD("ths_close_price_stock",$B27,$F$1,"100","")</f>
        <v>4590</v>
      </c>
      <c r="G27" s="3">
        <f ca="1" t="shared" si="0"/>
        <v>0.063919259882254</v>
      </c>
      <c r="H27" s="3">
        <f ca="1" t="shared" si="1"/>
        <v>-0.0928853754940712</v>
      </c>
      <c r="I27" s="4">
        <f ca="1">thsiFinD("ths_vol_future",B27,$E$1)</f>
        <v>766298</v>
      </c>
      <c r="J27" s="5">
        <f ca="1">thsiFinD("ths_vol_future",B27,$F$1)</f>
        <v>902252</v>
      </c>
    </row>
    <row r="28" spans="2:10">
      <c r="B28" s="2" t="s">
        <v>57</v>
      </c>
      <c r="C28" s="2" t="s">
        <v>58</v>
      </c>
      <c r="D28">
        <f ca="1">thsiFinD("ths_close_price_stock",$B28,$D$1,"100","")</f>
        <v>3297</v>
      </c>
      <c r="E28">
        <f ca="1">thsiFinD("ths_close_price_stock",$B28,$E$1,"100","")</f>
        <v>3330</v>
      </c>
      <c r="F28">
        <f ca="1">thsiFinD("ths_close_price_stock",$B28,$F$1,"100","")</f>
        <v>3324</v>
      </c>
      <c r="G28" s="3">
        <f ca="1" t="shared" si="0"/>
        <v>0.0100090991810737</v>
      </c>
      <c r="H28" s="3">
        <f ca="1" t="shared" si="1"/>
        <v>-0.00180180180180178</v>
      </c>
      <c r="I28" s="4">
        <f ca="1">thsiFinD("ths_vol_future",B28,$E$1)</f>
        <v>472394</v>
      </c>
      <c r="J28" s="5">
        <f ca="1">thsiFinD("ths_vol_future",B28,$F$1)</f>
        <v>253950</v>
      </c>
    </row>
    <row r="29" spans="2:10">
      <c r="B29" s="2" t="s">
        <v>59</v>
      </c>
      <c r="C29" s="2" t="s">
        <v>60</v>
      </c>
      <c r="D29">
        <f ca="1">thsiFinD("ths_close_price_stock",$B29,$D$1,"100","")</f>
        <v>815.5</v>
      </c>
      <c r="E29">
        <f ca="1">thsiFinD("ths_close_price_stock",$B29,$E$1,"100","")</f>
        <v>819</v>
      </c>
      <c r="F29">
        <f ca="1">thsiFinD("ths_close_price_stock",$B29,$F$1,"100","")</f>
        <v>824</v>
      </c>
      <c r="G29" s="3">
        <f ca="1" t="shared" si="0"/>
        <v>0.00429184549356232</v>
      </c>
      <c r="H29" s="3">
        <f ca="1" t="shared" si="1"/>
        <v>0.00610500610500608</v>
      </c>
      <c r="I29" s="4">
        <f ca="1">thsiFinD("ths_vol_future",B29,$E$1)</f>
        <v>263330</v>
      </c>
      <c r="J29" s="5">
        <f ca="1">thsiFinD("ths_vol_future",B29,$F$1)</f>
        <v>219790</v>
      </c>
    </row>
    <row r="30" spans="2:10">
      <c r="B30" s="2" t="s">
        <v>61</v>
      </c>
      <c r="C30" s="2" t="s">
        <v>62</v>
      </c>
      <c r="D30">
        <f ca="1">thsiFinD("ths_close_price_stock",$B30,$D$1,"100","")</f>
        <v>7559.4</v>
      </c>
      <c r="E30">
        <f ca="1">thsiFinD("ths_close_price_stock",$B30,$E$1,"100","")</f>
        <v>7235</v>
      </c>
      <c r="F30">
        <f ca="1">thsiFinD("ths_close_price_stock",$B30,$F$1,"100","")</f>
        <v>7409.6</v>
      </c>
      <c r="G30" s="3">
        <f ca="1" t="shared" si="0"/>
        <v>-0.0429134587401117</v>
      </c>
      <c r="H30" s="3">
        <f ca="1" t="shared" si="1"/>
        <v>0.0241326883206634</v>
      </c>
      <c r="I30" s="4">
        <f ca="1">thsiFinD("ths_vol_future",B30,$E$1)</f>
        <v>130671</v>
      </c>
      <c r="J30" s="5">
        <f ca="1">thsiFinD("ths_vol_future",B30,$F$1)</f>
        <v>118729</v>
      </c>
    </row>
    <row r="31" spans="2:10">
      <c r="B31" s="2" t="s">
        <v>63</v>
      </c>
      <c r="C31" s="2" t="s">
        <v>64</v>
      </c>
      <c r="D31">
        <f ca="1">thsiFinD("ths_close_price_stock",$B31,$D$1,"100","")</f>
        <v>4486.4</v>
      </c>
      <c r="E31">
        <f ca="1">thsiFinD("ths_close_price_stock",$B31,$E$1,"100","")</f>
        <v>4344.4</v>
      </c>
      <c r="F31">
        <f ca="1">thsiFinD("ths_close_price_stock",$B31,$F$1,"100","")</f>
        <v>4388.4</v>
      </c>
      <c r="G31" s="3">
        <f ca="1" t="shared" si="0"/>
        <v>-0.031651212553495</v>
      </c>
      <c r="H31" s="3">
        <f ca="1" t="shared" si="1"/>
        <v>0.010127980848909</v>
      </c>
      <c r="I31" s="4">
        <f ca="1">thsiFinD("ths_vol_future",B31,$E$1)</f>
        <v>89178</v>
      </c>
      <c r="J31" s="5">
        <f ca="1">thsiFinD("ths_vol_future",B31,$F$1)</f>
        <v>66297</v>
      </c>
    </row>
    <row r="32" spans="2:10">
      <c r="B32" s="2" t="s">
        <v>65</v>
      </c>
      <c r="C32" s="2" t="s">
        <v>66</v>
      </c>
      <c r="D32">
        <f ca="1">thsiFinD("ths_close_price_stock",$B32,$D$1,"100","")</f>
        <v>2865.8</v>
      </c>
      <c r="E32">
        <f ca="1">thsiFinD("ths_close_price_stock",$B32,$E$1,"100","")</f>
        <v>2776</v>
      </c>
      <c r="F32">
        <f ca="1">thsiFinD("ths_close_price_stock",$B32,$F$1,"100","")</f>
        <v>2810.6</v>
      </c>
      <c r="G32" s="3">
        <f ca="1" t="shared" si="0"/>
        <v>-0.0313350547840046</v>
      </c>
      <c r="H32" s="3">
        <f ca="1" t="shared" si="1"/>
        <v>0.0124639769452448</v>
      </c>
      <c r="I32" s="4">
        <f ca="1">thsiFinD("ths_vol_future",B32,$E$1)</f>
        <v>44549</v>
      </c>
      <c r="J32" s="5">
        <f ca="1">thsiFinD("ths_vol_future",B32,$F$1)</f>
        <v>32738</v>
      </c>
    </row>
    <row r="33" spans="2:10">
      <c r="B33" s="2" t="s">
        <v>67</v>
      </c>
      <c r="C33" s="2" t="s">
        <v>68</v>
      </c>
      <c r="D33">
        <f ca="1">thsiFinD("ths_close_price_stock",$B33,$D$1,"100","")</f>
        <v>7560</v>
      </c>
      <c r="E33">
        <f ca="1">thsiFinD("ths_close_price_stock",$B33,$E$1,"100","")</f>
        <v>7190</v>
      </c>
      <c r="F33">
        <f ca="1">thsiFinD("ths_close_price_stock",$B33,$F$1,"100","")</f>
        <v>7387.2</v>
      </c>
      <c r="G33" s="3">
        <f ca="1" t="shared" si="0"/>
        <v>-0.048941798941799</v>
      </c>
      <c r="H33" s="3">
        <f ca="1" t="shared" si="1"/>
        <v>0.0274269819193325</v>
      </c>
      <c r="I33" s="4">
        <f ca="1">thsiFinD("ths_vol_future",B33,$E$1)</f>
        <v>197317</v>
      </c>
      <c r="J33" s="5">
        <f ca="1">thsiFinD("ths_vol_future",B33,$F$1)</f>
        <v>182407</v>
      </c>
    </row>
    <row r="34" spans="2:10">
      <c r="B34" s="2" t="s">
        <v>69</v>
      </c>
      <c r="C34" s="2" t="s">
        <v>70</v>
      </c>
      <c r="D34">
        <f ca="1">thsiFinD("ths_close_price_stock",$B34,$D$1,"100","")</f>
        <v>1740.5</v>
      </c>
      <c r="E34">
        <f ca="1">thsiFinD("ths_close_price_stock",$B34,$E$1,"100","")</f>
        <v>1847</v>
      </c>
      <c r="F34">
        <f ca="1">thsiFinD("ths_close_price_stock",$B34,$F$1,"100","")</f>
        <v>1798</v>
      </c>
      <c r="G34" s="3">
        <f ca="1" t="shared" si="0"/>
        <v>0.0611893134156851</v>
      </c>
      <c r="H34" s="3">
        <f ca="1" t="shared" si="1"/>
        <v>-0.0265295073091499</v>
      </c>
      <c r="I34" s="4">
        <f ca="1">thsiFinD("ths_vol_future",B34,$E$1)</f>
        <v>44938</v>
      </c>
      <c r="J34" s="5">
        <f ca="1">thsiFinD("ths_vol_future",B34,$F$1)</f>
        <v>28124</v>
      </c>
    </row>
    <row r="35" spans="2:10">
      <c r="B35" s="2" t="s">
        <v>71</v>
      </c>
      <c r="C35" s="2" t="s">
        <v>72</v>
      </c>
      <c r="D35">
        <f ca="1">thsiFinD("ths_close_price_stock",$B35,$D$1,"100","")</f>
        <v>3409</v>
      </c>
      <c r="E35">
        <f ca="1">thsiFinD("ths_close_price_stock",$B35,$E$1,"100","")</f>
        <v>3443</v>
      </c>
      <c r="F35">
        <f ca="1">thsiFinD("ths_close_price_stock",$B35,$F$1,"100","")</f>
        <v>3401</v>
      </c>
      <c r="G35" s="3">
        <f ca="1" t="shared" si="0"/>
        <v>0.00997359929598129</v>
      </c>
      <c r="H35" s="3">
        <f ca="1" t="shared" si="1"/>
        <v>-0.0121986639558525</v>
      </c>
      <c r="I35" s="4">
        <f ca="1">thsiFinD("ths_vol_future",B35,$E$1)</f>
        <v>128282</v>
      </c>
      <c r="J35" s="5">
        <f ca="1">thsiFinD("ths_vol_future",B35,$F$1)</f>
        <v>135243</v>
      </c>
    </row>
    <row r="36" spans="2:10">
      <c r="B36" s="2" t="s">
        <v>73</v>
      </c>
      <c r="C36" s="2" t="s">
        <v>74</v>
      </c>
      <c r="D36">
        <f ca="1">thsiFinD("ths_close_price_stock",$B36,$D$1,"100","")</f>
        <v>1171</v>
      </c>
      <c r="E36">
        <f ca="1">thsiFinD("ths_close_price_stock",$B36,$E$1,"100","")</f>
        <v>1289.5</v>
      </c>
      <c r="F36">
        <f ca="1">thsiFinD("ths_close_price_stock",$B36,$F$1,"100","")</f>
        <v>1249.5</v>
      </c>
      <c r="G36" s="3">
        <f ca="1">E36/D36-1</f>
        <v>0.101195559350982</v>
      </c>
      <c r="H36" s="3">
        <f ca="1" t="shared" ref="H36:H67" si="2">F36/E36-1</f>
        <v>-0.0310197751066305</v>
      </c>
      <c r="I36" s="4">
        <f ca="1">thsiFinD("ths_vol_future",B36,$E$1)</f>
        <v>1695879</v>
      </c>
      <c r="J36" s="5">
        <f ca="1">thsiFinD("ths_vol_future",B36,$F$1)</f>
        <v>1501424</v>
      </c>
    </row>
    <row r="37" spans="2:10">
      <c r="B37" s="2" t="s">
        <v>75</v>
      </c>
      <c r="C37" s="2" t="s">
        <v>76</v>
      </c>
      <c r="D37">
        <f ca="1">thsiFinD("ths_close_price_stock",$B37,$D$1,"100","")</f>
        <v>8818</v>
      </c>
      <c r="E37">
        <f ca="1">thsiFinD("ths_close_price_stock",$B37,$E$1,"100","")</f>
        <v>9523</v>
      </c>
      <c r="F37">
        <f ca="1">thsiFinD("ths_close_price_stock",$B37,$F$1,"100","")</f>
        <v>8918</v>
      </c>
      <c r="G37" s="3">
        <f ca="1" t="shared" ref="G37:G66" si="3">E37/D37-1</f>
        <v>0.0799501020639601</v>
      </c>
      <c r="H37" s="3">
        <f ca="1" t="shared" si="2"/>
        <v>-0.0635304000840071</v>
      </c>
      <c r="I37" s="4">
        <f ca="1">thsiFinD("ths_vol_future",B37,$E$1)</f>
        <v>867839</v>
      </c>
      <c r="J37" s="5">
        <f ca="1">thsiFinD("ths_vol_future",B37,$F$1)</f>
        <v>1133666</v>
      </c>
    </row>
    <row r="38" spans="2:10">
      <c r="B38" s="2" t="s">
        <v>77</v>
      </c>
      <c r="C38" s="2" t="s">
        <v>78</v>
      </c>
      <c r="D38">
        <f ca="1">thsiFinD("ths_close_price_stock",$B38,$D$1,"100","")</f>
        <v>8807</v>
      </c>
      <c r="E38">
        <f ca="1">thsiFinD("ths_close_price_stock",$B38,$E$1,"100","")</f>
        <v>9523</v>
      </c>
      <c r="F38">
        <f ca="1">thsiFinD("ths_close_price_stock",$B38,$F$1,"100","")</f>
        <v>9523</v>
      </c>
      <c r="G38" s="3">
        <f ca="1" t="shared" si="3"/>
        <v>0.0812989667310093</v>
      </c>
      <c r="H38" s="3">
        <f ca="1" t="shared" si="2"/>
        <v>0</v>
      </c>
      <c r="I38" s="4">
        <f ca="1">thsiFinD("ths_vol_future",B38,$E$1)</f>
        <v>8041</v>
      </c>
      <c r="J38" s="5">
        <f ca="1">thsiFinD("ths_vol_future",B38,$F$1)</f>
        <v>9071</v>
      </c>
    </row>
    <row r="39" spans="2:10">
      <c r="B39" s="2" t="s">
        <v>79</v>
      </c>
      <c r="C39" s="2" t="s">
        <v>80</v>
      </c>
      <c r="D39">
        <f ca="1">thsiFinD("ths_close_price_stock",$B39,$D$1,"100","")</f>
        <v>143860</v>
      </c>
      <c r="E39">
        <f ca="1">thsiFinD("ths_close_price_stock",$B39,$E$1,"100","")</f>
        <v>149040</v>
      </c>
      <c r="F39">
        <f ca="1">thsiFinD("ths_close_price_stock",$B39,$F$1,"100","")</f>
        <v>152940</v>
      </c>
      <c r="G39" s="3">
        <f ca="1" t="shared" si="3"/>
        <v>0.0360072292506604</v>
      </c>
      <c r="H39" s="3">
        <f ca="1" t="shared" si="2"/>
        <v>0.0261674718196456</v>
      </c>
      <c r="I39" s="4">
        <f ca="1">thsiFinD("ths_vol_future",B39,$E$1)</f>
        <v>228178</v>
      </c>
      <c r="J39" s="5">
        <f ca="1">thsiFinD("ths_vol_future",B39,$F$1)</f>
        <v>231071</v>
      </c>
    </row>
    <row r="40" spans="2:10">
      <c r="B40" s="2" t="s">
        <v>81</v>
      </c>
      <c r="C40" s="2" t="s">
        <v>82</v>
      </c>
      <c r="D40">
        <f ca="1">thsiFinD("ths_close_price_stock",$B40,$D$1,"100","")</f>
        <v>823.5</v>
      </c>
      <c r="E40">
        <f ca="1">thsiFinD("ths_close_price_stock",$B40,$E$1,"100","")</f>
        <v>822</v>
      </c>
      <c r="F40">
        <f ca="1">thsiFinD("ths_close_price_stock",$B40,$F$1,"100","")</f>
        <v>823</v>
      </c>
      <c r="G40" s="3">
        <f ca="1" t="shared" si="3"/>
        <v>-0.00182149362477235</v>
      </c>
      <c r="H40" s="3">
        <f ca="1" t="shared" si="2"/>
        <v>0.0012165450121655</v>
      </c>
      <c r="I40" s="4">
        <f ca="1">thsiFinD("ths_vol_future",B40,$E$1)</f>
        <v>11282</v>
      </c>
      <c r="J40" s="5">
        <f ca="1">thsiFinD("ths_vol_future",B40,$F$1)</f>
        <v>5371</v>
      </c>
    </row>
    <row r="41" spans="2:10">
      <c r="B41" s="2" t="s">
        <v>83</v>
      </c>
      <c r="C41" s="2" t="s">
        <v>84</v>
      </c>
      <c r="D41">
        <f ca="1">thsiFinD("ths_close_price_stock",$B41,$D$1,"100","")</f>
        <v>10220</v>
      </c>
      <c r="E41">
        <f ca="1">thsiFinD("ths_close_price_stock",$B41,$E$1,"100","")</f>
        <v>9980</v>
      </c>
      <c r="F41">
        <f ca="1">thsiFinD("ths_close_price_stock",$B41,$F$1,"100","")</f>
        <v>10045</v>
      </c>
      <c r="G41" s="3">
        <f ca="1" t="shared" si="3"/>
        <v>-0.0234833659491194</v>
      </c>
      <c r="H41" s="3">
        <f ca="1" t="shared" si="2"/>
        <v>0.00651302605210424</v>
      </c>
      <c r="I41" s="4">
        <f ca="1">thsiFinD("ths_vol_future",B41,$E$1)</f>
        <v>165979</v>
      </c>
      <c r="J41" s="5">
        <f ca="1">thsiFinD("ths_vol_future",B41,$F$1)</f>
        <v>157586</v>
      </c>
    </row>
    <row r="42" spans="2:10">
      <c r="B42" s="2" t="s">
        <v>85</v>
      </c>
      <c r="C42" s="2" t="s">
        <v>86</v>
      </c>
      <c r="D42">
        <f ca="1">thsiFinD("ths_close_price_stock",$B42,$D$1,"100","")</f>
        <v>5592</v>
      </c>
      <c r="E42">
        <f ca="1">thsiFinD("ths_close_price_stock",$B42,$E$1,"100","")</f>
        <v>5980</v>
      </c>
      <c r="F42">
        <f ca="1">thsiFinD("ths_close_price_stock",$B42,$F$1,"100","")</f>
        <v>5301</v>
      </c>
      <c r="G42" s="3">
        <f ca="1" t="shared" si="3"/>
        <v>0.0693848354792561</v>
      </c>
      <c r="H42" s="3">
        <f ca="1" t="shared" si="2"/>
        <v>-0.113545150501672</v>
      </c>
      <c r="I42" s="4">
        <f ca="1">thsiFinD("ths_vol_future",B42,$E$1)</f>
        <v>129646</v>
      </c>
      <c r="J42" s="5">
        <f ca="1">thsiFinD("ths_vol_future",B42,$F$1)</f>
        <v>133888</v>
      </c>
    </row>
    <row r="43" spans="2:10">
      <c r="B43" s="2" t="s">
        <v>87</v>
      </c>
      <c r="C43" s="2" t="s">
        <v>88</v>
      </c>
      <c r="D43">
        <f ca="1">thsiFinD("ths_close_price_stock",$B43,$D$1,"100","")</f>
        <v>3029</v>
      </c>
      <c r="E43">
        <f ca="1">thsiFinD("ths_close_price_stock",$B43,$E$1,"100","")</f>
        <v>3007</v>
      </c>
      <c r="F43">
        <f ca="1">thsiFinD("ths_close_price_stock",$B43,$F$1,"100","")</f>
        <v>2961</v>
      </c>
      <c r="G43" s="3">
        <f ca="1" t="shared" si="3"/>
        <v>-0.00726312314295152</v>
      </c>
      <c r="H43" s="3">
        <f ca="1" t="shared" si="2"/>
        <v>-0.0152976388427004</v>
      </c>
      <c r="I43" s="4">
        <f ca="1">thsiFinD("ths_vol_future",B43,$E$1)</f>
        <v>1259866</v>
      </c>
      <c r="J43" s="5">
        <f ca="1">thsiFinD("ths_vol_future",B43,$F$1)</f>
        <v>1151834</v>
      </c>
    </row>
    <row r="44" spans="2:10">
      <c r="B44" s="2" t="s">
        <v>89</v>
      </c>
      <c r="C44" s="2" t="s">
        <v>90</v>
      </c>
      <c r="D44">
        <f ca="1">thsiFinD("ths_close_price_stock",$B44,$D$1,"100","")</f>
        <v>3132</v>
      </c>
      <c r="E44">
        <f ca="1">thsiFinD("ths_close_price_stock",$B44,$E$1,"100","")</f>
        <v>3351</v>
      </c>
      <c r="F44">
        <f ca="1">thsiFinD("ths_close_price_stock",$B44,$F$1,"100","")</f>
        <v>3139</v>
      </c>
      <c r="G44" s="3">
        <f ca="1" t="shared" si="3"/>
        <v>0.0699233716475096</v>
      </c>
      <c r="H44" s="3">
        <f ca="1" t="shared" si="2"/>
        <v>-0.0632646971053417</v>
      </c>
      <c r="I44" s="4">
        <f ca="1">thsiFinD("ths_vol_future",B44,$E$1)</f>
        <v>2182034</v>
      </c>
      <c r="J44" s="5">
        <f ca="1">thsiFinD("ths_vol_future",B44,$F$1)</f>
        <v>2094075</v>
      </c>
    </row>
    <row r="45" spans="2:10">
      <c r="B45" s="2" t="s">
        <v>91</v>
      </c>
      <c r="C45" s="2" t="s">
        <v>92</v>
      </c>
      <c r="D45">
        <f ca="1">thsiFinD("ths_close_price_stock",$B45,$D$1,"100","")</f>
        <v>133160</v>
      </c>
      <c r="E45">
        <f ca="1">thsiFinD("ths_close_price_stock",$B45,$E$1,"100","")</f>
        <v>132980</v>
      </c>
      <c r="F45">
        <f ca="1">thsiFinD("ths_close_price_stock",$B45,$F$1,"100","")</f>
        <v>133480</v>
      </c>
      <c r="G45" s="3">
        <f ca="1" t="shared" si="3"/>
        <v>-0.00135175728446979</v>
      </c>
      <c r="H45" s="3">
        <f ca="1" t="shared" si="2"/>
        <v>0.00375996390434641</v>
      </c>
      <c r="I45" s="4">
        <f ca="1">thsiFinD("ths_vol_future",B45,$E$1)</f>
        <v>463882</v>
      </c>
      <c r="J45" s="5">
        <f ca="1">thsiFinD("ths_vol_future",B45,$F$1)</f>
        <v>442345</v>
      </c>
    </row>
    <row r="46" spans="2:10">
      <c r="B46" s="2" t="s">
        <v>93</v>
      </c>
      <c r="C46" s="2" t="s">
        <v>94</v>
      </c>
      <c r="D46">
        <f ca="1">thsiFinD("ths_close_price_stock",$B46,$D$1,"100","")</f>
        <v>12865</v>
      </c>
      <c r="E46">
        <f ca="1">thsiFinD("ths_close_price_stock",$B46,$E$1,"100","")</f>
        <v>13055</v>
      </c>
      <c r="F46">
        <f ca="1">thsiFinD("ths_close_price_stock",$B46,$F$1,"100","")</f>
        <v>13310</v>
      </c>
      <c r="G46" s="3">
        <f ca="1" t="shared" si="3"/>
        <v>0.0147687524290712</v>
      </c>
      <c r="H46" s="3">
        <f ca="1" t="shared" si="2"/>
        <v>0.0195327460743011</v>
      </c>
      <c r="I46" s="4">
        <f ca="1">thsiFinD("ths_vol_future",B46,$E$1)</f>
        <v>68099</v>
      </c>
      <c r="J46" s="5">
        <f ca="1">thsiFinD("ths_vol_future",B46,$F$1)</f>
        <v>74903</v>
      </c>
    </row>
    <row r="47" spans="2:10">
      <c r="B47" s="2" t="s">
        <v>95</v>
      </c>
      <c r="C47" s="2" t="s">
        <v>96</v>
      </c>
      <c r="D47">
        <f ca="1">thsiFinD("ths_close_price_stock",$B47,$D$1,"100","")</f>
        <v>9876</v>
      </c>
      <c r="E47">
        <f ca="1">thsiFinD("ths_close_price_stock",$B47,$E$1,"100","")</f>
        <v>9950</v>
      </c>
      <c r="F47">
        <f ca="1">thsiFinD("ths_close_price_stock",$B47,$F$1,"100","")</f>
        <v>9813</v>
      </c>
      <c r="G47" s="3">
        <f ca="1" t="shared" si="3"/>
        <v>0.00749291211016612</v>
      </c>
      <c r="H47" s="3">
        <f ca="1" t="shared" si="2"/>
        <v>-0.0137688442211056</v>
      </c>
      <c r="I47" s="4">
        <f ca="1">thsiFinD("ths_vol_future",B47,$E$1)</f>
        <v>224994</v>
      </c>
      <c r="J47" s="5">
        <f ca="1">thsiFinD("ths_vol_future",B47,$F$1)</f>
        <v>218082</v>
      </c>
    </row>
    <row r="48" spans="2:10">
      <c r="B48" s="2" t="s">
        <v>97</v>
      </c>
      <c r="C48" s="2" t="s">
        <v>98</v>
      </c>
      <c r="D48">
        <f ca="1">thsiFinD("ths_close_price_stock",$B48,$D$1,"100","")</f>
        <v>4166</v>
      </c>
      <c r="E48">
        <f ca="1">thsiFinD("ths_close_price_stock",$B48,$E$1,"100","")</f>
        <v>4208</v>
      </c>
      <c r="F48">
        <f ca="1">thsiFinD("ths_close_price_stock",$B48,$F$1,"100","")</f>
        <v>4234</v>
      </c>
      <c r="G48" s="3">
        <f ca="1" t="shared" si="3"/>
        <v>0.0100816130580892</v>
      </c>
      <c r="H48" s="3">
        <f ca="1" t="shared" si="2"/>
        <v>0.00617870722433467</v>
      </c>
      <c r="I48" s="4">
        <f ca="1">thsiFinD("ths_vol_future",B48,$E$1)</f>
        <v>2650</v>
      </c>
      <c r="J48" s="5">
        <f ca="1">thsiFinD("ths_vol_future",B48,$F$1)</f>
        <v>2293</v>
      </c>
    </row>
    <row r="49" spans="2:10">
      <c r="B49" s="2" t="s">
        <v>99</v>
      </c>
      <c r="C49" s="2" t="s">
        <v>100</v>
      </c>
      <c r="D49">
        <f ca="1">thsiFinD("ths_close_price_stock",$B49,$D$1,"100","")</f>
        <v>9718</v>
      </c>
      <c r="E49">
        <f ca="1">thsiFinD("ths_close_price_stock",$B49,$E$1,"100","")</f>
        <v>9942</v>
      </c>
      <c r="F49">
        <f ca="1">thsiFinD("ths_close_price_stock",$B49,$F$1,"100","")</f>
        <v>9644</v>
      </c>
      <c r="G49" s="3">
        <f ca="1" t="shared" si="3"/>
        <v>0.0230500102901832</v>
      </c>
      <c r="H49" s="3">
        <f ca="1" t="shared" si="2"/>
        <v>-0.0299738483202575</v>
      </c>
      <c r="I49" s="4">
        <f ca="1">thsiFinD("ths_vol_future",B49,$E$1)</f>
        <v>465152</v>
      </c>
      <c r="J49" s="5">
        <f ca="1">thsiFinD("ths_vol_future",B49,$F$1)</f>
        <v>512050</v>
      </c>
    </row>
    <row r="50" spans="2:10">
      <c r="B50" s="2" t="s">
        <v>101</v>
      </c>
      <c r="C50" s="2" t="s">
        <v>102</v>
      </c>
      <c r="D50">
        <f ca="1">thsiFinD("ths_close_price_stock",$B50,$D$1,"100","")</f>
        <v>16290</v>
      </c>
      <c r="E50">
        <f ca="1">thsiFinD("ths_close_price_stock",$B50,$E$1,"100","")</f>
        <v>16395</v>
      </c>
      <c r="F50">
        <f ca="1">thsiFinD("ths_close_price_stock",$B50,$F$1,"100","")</f>
        <v>16420</v>
      </c>
      <c r="G50" s="3">
        <f ca="1" t="shared" si="3"/>
        <v>0.00644567219152847</v>
      </c>
      <c r="H50" s="3">
        <f ca="1" t="shared" si="2"/>
        <v>0.00152485513876188</v>
      </c>
      <c r="I50" s="4">
        <f ca="1">thsiFinD("ths_vol_future",B50,$E$1)</f>
        <v>63444</v>
      </c>
      <c r="J50" s="5">
        <f ca="1">thsiFinD("ths_vol_future",B50,$F$1)</f>
        <v>49289</v>
      </c>
    </row>
    <row r="51" spans="2:10">
      <c r="B51" s="2" t="s">
        <v>103</v>
      </c>
      <c r="C51" s="2" t="s">
        <v>104</v>
      </c>
      <c r="D51">
        <f ca="1">thsiFinD("ths_close_price_stock",$B51,$D$1,"100","")</f>
        <v>368.85</v>
      </c>
      <c r="E51">
        <f ca="1">thsiFinD("ths_close_price_stock",$B51,$E$1,"100","")</f>
        <v>327.85</v>
      </c>
      <c r="F51">
        <f ca="1">thsiFinD("ths_close_price_stock",$B51,$F$1,"100","")</f>
        <v>359.5</v>
      </c>
      <c r="G51" s="3">
        <f ca="1" t="shared" si="3"/>
        <v>-0.111156296597533</v>
      </c>
      <c r="H51" s="3">
        <f ca="1" t="shared" si="2"/>
        <v>0.0965380509379288</v>
      </c>
      <c r="I51" s="4">
        <f ca="1">thsiFinD("ths_vol_future",B51,$E$1)</f>
        <v>6786</v>
      </c>
      <c r="J51" s="5">
        <f ca="1">thsiFinD("ths_vol_future",B51,$F$1)</f>
        <v>6204</v>
      </c>
    </row>
    <row r="52" spans="2:10">
      <c r="B52" s="2" t="s">
        <v>105</v>
      </c>
      <c r="C52" s="2" t="s">
        <v>106</v>
      </c>
      <c r="D52">
        <f ca="1">thsiFinD("ths_close_price_stock",$B52,$D$1,"100","")</f>
        <v>8248</v>
      </c>
      <c r="E52">
        <f ca="1">thsiFinD("ths_close_price_stock",$B52,$E$1,"100","")</f>
        <v>8680</v>
      </c>
      <c r="F52">
        <f ca="1">thsiFinD("ths_close_price_stock",$B52,$F$1,"100","")</f>
        <v>8254</v>
      </c>
      <c r="G52" s="3">
        <f ca="1" t="shared" si="3"/>
        <v>0.0523763336566441</v>
      </c>
      <c r="H52" s="3">
        <f ca="1" t="shared" si="2"/>
        <v>-0.0490783410138249</v>
      </c>
      <c r="I52" s="4">
        <f ca="1">thsiFinD("ths_vol_future",B52,$E$1)</f>
        <v>204112</v>
      </c>
      <c r="J52" s="5">
        <f ca="1">thsiFinD("ths_vol_future",B52,$F$1)</f>
        <v>188186</v>
      </c>
    </row>
    <row r="53" spans="2:10">
      <c r="B53" s="2" t="s">
        <v>107</v>
      </c>
      <c r="C53" s="2" t="s">
        <v>108</v>
      </c>
      <c r="D53">
        <f ca="1">thsiFinD("ths_close_price_stock",$B53,$D$1,"100","")</f>
        <v>6671</v>
      </c>
      <c r="E53">
        <f ca="1">thsiFinD("ths_close_price_stock",$B53,$E$1,"100","")</f>
        <v>7244</v>
      </c>
      <c r="F53">
        <f ca="1">thsiFinD("ths_close_price_stock",$B53,$F$1,"100","")</f>
        <v>6836</v>
      </c>
      <c r="G53" s="3">
        <f ca="1" t="shared" si="3"/>
        <v>0.0858941687902863</v>
      </c>
      <c r="H53" s="3">
        <f ca="1" t="shared" si="2"/>
        <v>-0.056322473771397</v>
      </c>
      <c r="I53" s="4">
        <f ca="1">thsiFinD("ths_vol_future",B53,$E$1)</f>
        <v>223751</v>
      </c>
      <c r="J53" s="5">
        <f ca="1">thsiFinD("ths_vol_future",B53,$F$1)</f>
        <v>548770</v>
      </c>
    </row>
    <row r="54" spans="2:10">
      <c r="B54" s="2" t="s">
        <v>109</v>
      </c>
      <c r="C54" s="2" t="s">
        <v>110</v>
      </c>
      <c r="D54">
        <f ca="1">thsiFinD("ths_close_price_stock",$B54,$D$1,"100","")</f>
        <v>8188</v>
      </c>
      <c r="E54">
        <f ca="1">thsiFinD("ths_close_price_stock",$B54,$E$1,"100","")</f>
        <v>8238</v>
      </c>
      <c r="F54">
        <f ca="1">thsiFinD("ths_close_price_stock",$B54,$F$1,"100","")</f>
        <v>8214</v>
      </c>
      <c r="G54" s="3">
        <f ca="1" t="shared" si="3"/>
        <v>0.00610649731314128</v>
      </c>
      <c r="H54" s="3">
        <f ca="1" t="shared" si="2"/>
        <v>-0.00291332847778591</v>
      </c>
      <c r="I54" s="4">
        <f ca="1">thsiFinD("ths_vol_future",B54,$E$1)</f>
        <v>60363</v>
      </c>
      <c r="J54" s="5">
        <f ca="1">thsiFinD("ths_vol_future",B54,$F$1)</f>
        <v>43033</v>
      </c>
    </row>
    <row r="55" spans="2:10">
      <c r="B55" s="2" t="s">
        <v>111</v>
      </c>
      <c r="C55" s="2" t="s">
        <v>112</v>
      </c>
      <c r="D55">
        <f ca="1">thsiFinD("ths_close_price_stock",$B55,$D$1,"100","")</f>
        <v>8840</v>
      </c>
      <c r="E55">
        <f ca="1">thsiFinD("ths_close_price_stock",$B55,$E$1,"100","")</f>
        <v>9859</v>
      </c>
      <c r="F55">
        <f ca="1">thsiFinD("ths_close_price_stock",$B55,$F$1,"100","")</f>
        <v>8874</v>
      </c>
      <c r="G55" s="3">
        <f ca="1" t="shared" si="3"/>
        <v>0.11527149321267</v>
      </c>
      <c r="H55" s="3">
        <f ca="1" t="shared" si="2"/>
        <v>-0.099908712851202</v>
      </c>
      <c r="I55" s="4">
        <f ca="1">thsiFinD("ths_vol_future",B55,$E$1)</f>
        <v>21073</v>
      </c>
      <c r="J55" s="5">
        <f ca="1">thsiFinD("ths_vol_future",B55,$F$1)</f>
        <v>29694</v>
      </c>
    </row>
    <row r="56" spans="2:10">
      <c r="B56" s="2" t="s">
        <v>113</v>
      </c>
      <c r="C56" s="2" t="s">
        <v>114</v>
      </c>
      <c r="D56">
        <f ca="1">thsiFinD("ths_close_price_stock",$B56,$D$1,"100","")</f>
        <v>9019</v>
      </c>
      <c r="E56">
        <f ca="1">thsiFinD("ths_close_price_stock",$B56,$E$1,"100","")</f>
        <v>9793</v>
      </c>
      <c r="F56">
        <f ca="1">thsiFinD("ths_close_price_stock",$B56,$F$1,"100","")</f>
        <v>9114</v>
      </c>
      <c r="G56" s="3">
        <f ca="1">E56/D56-1</f>
        <v>0.0858188269209448</v>
      </c>
      <c r="H56" s="3">
        <f ca="1" t="shared" si="2"/>
        <v>-0.0693352394567548</v>
      </c>
      <c r="I56" s="4">
        <f ca="1">thsiFinD("ths_vol_future",B56,$E$1)</f>
        <v>1011727</v>
      </c>
      <c r="J56" s="5">
        <f ca="1">thsiFinD("ths_vol_future",B56,$F$1)</f>
        <v>1328839</v>
      </c>
    </row>
    <row r="57" spans="2:10">
      <c r="B57" s="2" t="s">
        <v>115</v>
      </c>
      <c r="C57" s="2" t="s">
        <v>116</v>
      </c>
      <c r="D57">
        <f ca="1">thsiFinD("ths_close_price_stock",$B57,$D$1,"100","")</f>
        <v>9014</v>
      </c>
      <c r="E57">
        <f ca="1">thsiFinD("ths_close_price_stock",$B57,$E$1,"100","")</f>
        <v>9793</v>
      </c>
      <c r="F57">
        <f ca="1">thsiFinD("ths_close_price_stock",$B57,$F$1,"100","")</f>
        <v>9793</v>
      </c>
      <c r="G57" s="3">
        <f ca="1">E57/D57-1</f>
        <v>0.0864211226980254</v>
      </c>
      <c r="H57" s="3">
        <f ca="1" t="shared" si="2"/>
        <v>0</v>
      </c>
      <c r="I57" s="4">
        <f ca="1">thsiFinD("ths_vol_future",B57,$E$1)</f>
        <v>5651</v>
      </c>
      <c r="J57" s="5">
        <f ca="1">thsiFinD("ths_vol_future",B57,$F$1)</f>
        <v>7083</v>
      </c>
    </row>
    <row r="58" spans="2:10">
      <c r="B58" s="2" t="s">
        <v>117</v>
      </c>
      <c r="C58" s="2" t="s">
        <v>118</v>
      </c>
      <c r="D58">
        <f ca="1">thsiFinD("ths_close_price_stock",$B58,$D$1,"100","")</f>
        <v>8262</v>
      </c>
      <c r="E58">
        <f ca="1">thsiFinD("ths_close_price_stock",$B58,$E$1,"100","")</f>
        <v>8668</v>
      </c>
      <c r="F58">
        <f ca="1">thsiFinD("ths_close_price_stock",$B58,$F$1,"100","")</f>
        <v>8186</v>
      </c>
      <c r="G58" s="3">
        <f ca="1">E58/D58-1</f>
        <v>0.0491406439118858</v>
      </c>
      <c r="H58" s="3">
        <f ca="1" t="shared" si="2"/>
        <v>-0.0556068297185048</v>
      </c>
      <c r="I58" s="4">
        <f ca="1">thsiFinD("ths_vol_future",B58,$E$1)</f>
        <v>99546</v>
      </c>
      <c r="J58" s="5">
        <f ca="1">thsiFinD("ths_vol_future",B58,$F$1)</f>
        <v>117799</v>
      </c>
    </row>
    <row r="59" spans="2:10">
      <c r="B59" s="2" t="s">
        <v>119</v>
      </c>
      <c r="C59" s="2" t="s">
        <v>120</v>
      </c>
      <c r="D59">
        <f ca="1">thsiFinD("ths_close_price_stock",$B59,$D$1,"100","")</f>
        <v>37765</v>
      </c>
      <c r="E59">
        <f ca="1">thsiFinD("ths_close_price_stock",$B59,$E$1,"100","")</f>
        <v>35435</v>
      </c>
      <c r="F59">
        <f ca="1">thsiFinD("ths_close_price_stock",$B59,$F$1,"100","")</f>
        <v>35730</v>
      </c>
      <c r="G59" s="3">
        <f ca="1">E59/D59-1</f>
        <v>-0.0616973388057726</v>
      </c>
      <c r="H59" s="3">
        <f ca="1" t="shared" si="2"/>
        <v>0.00832510229998595</v>
      </c>
      <c r="I59" s="4">
        <f ca="1">thsiFinD("ths_vol_future",B59,$E$1)</f>
        <v>12786</v>
      </c>
      <c r="J59" s="5">
        <f ca="1">thsiFinD("ths_vol_future",B59,$F$1)</f>
        <v>12132</v>
      </c>
    </row>
    <row r="60" spans="2:10">
      <c r="B60" s="2" t="s">
        <v>121</v>
      </c>
      <c r="C60" s="2" t="s">
        <v>122</v>
      </c>
      <c r="D60">
        <f ca="1">thsiFinD("ths_close_price_stock",$B60,$D$1,"100","")</f>
        <v>509.75</v>
      </c>
      <c r="E60">
        <f ca="1">thsiFinD("ths_close_price_stock",$B60,$E$1,"100","")</f>
        <v>457.75</v>
      </c>
      <c r="F60">
        <f ca="1">thsiFinD("ths_close_price_stock",$B60,$F$1,"100","")</f>
        <v>487.4</v>
      </c>
      <c r="G60" s="3">
        <f ca="1">E60/D60-1</f>
        <v>-0.102010789602746</v>
      </c>
      <c r="H60" s="3">
        <f ca="1" t="shared" si="2"/>
        <v>0.0647733478973238</v>
      </c>
      <c r="I60" s="4">
        <f ca="1">thsiFinD("ths_vol_future",B60,$E$1)</f>
        <v>18262</v>
      </c>
      <c r="J60" s="5">
        <f ca="1">thsiFinD("ths_vol_future",B60,$F$1)</f>
        <v>9005</v>
      </c>
    </row>
    <row r="61" spans="2:10">
      <c r="B61" s="2" t="s">
        <v>123</v>
      </c>
      <c r="C61" s="2" t="s">
        <v>124</v>
      </c>
      <c r="D61">
        <f ca="1">thsiFinD("ths_close_price_stock",$B61,$D$1,"100","")</f>
        <v>9682</v>
      </c>
      <c r="E61">
        <f ca="1">thsiFinD("ths_close_price_stock",$B61,$E$1,"100","")</f>
        <v>10390</v>
      </c>
      <c r="F61">
        <f ca="1">thsiFinD("ths_close_price_stock",$B61,$F$1,"100","")</f>
        <v>9708</v>
      </c>
      <c r="G61" s="3">
        <f ca="1">E61/D61-1</f>
        <v>0.0731253873166702</v>
      </c>
      <c r="H61" s="3">
        <f ca="1" t="shared" si="2"/>
        <v>-0.0656400384985563</v>
      </c>
      <c r="I61" s="4">
        <f ca="1">thsiFinD("ths_vol_future",B61,$E$1)</f>
        <v>595921</v>
      </c>
      <c r="J61" s="5">
        <f ca="1">thsiFinD("ths_vol_future",B61,$F$1)</f>
        <v>623917</v>
      </c>
    </row>
    <row r="62" spans="2:10">
      <c r="B62" s="2" t="s">
        <v>125</v>
      </c>
      <c r="C62" s="2" t="s">
        <v>126</v>
      </c>
      <c r="D62">
        <f ca="1">thsiFinD("ths_close_price_stock",$B62,$D$1,"100","")</f>
        <v>3123</v>
      </c>
      <c r="E62">
        <f ca="1">thsiFinD("ths_close_price_stock",$B62,$E$1,"100","")</f>
        <v>3154</v>
      </c>
      <c r="F62">
        <f ca="1">thsiFinD("ths_close_price_stock",$B62,$F$1,"100","")</f>
        <v>3145</v>
      </c>
      <c r="G62" s="3">
        <f ca="1">E62/D62-1</f>
        <v>0.00992635286583421</v>
      </c>
      <c r="H62" s="3">
        <f ca="1" t="shared" si="2"/>
        <v>-0.00285351934052003</v>
      </c>
      <c r="I62" s="4">
        <f ca="1">thsiFinD("ths_vol_future",B62,$E$1)</f>
        <v>1011355</v>
      </c>
      <c r="J62" s="5">
        <f ca="1">thsiFinD("ths_vol_future",B62,$F$1)</f>
        <v>618964</v>
      </c>
    </row>
    <row r="63" spans="2:10">
      <c r="B63" s="2" t="s">
        <v>127</v>
      </c>
      <c r="C63" s="2" t="s">
        <v>128</v>
      </c>
      <c r="D63">
        <f ca="1">thsiFinD("ths_close_price_stock",$B63,$D$1,"100","")</f>
        <v>2423</v>
      </c>
      <c r="E63">
        <f ca="1">thsiFinD("ths_close_price_stock",$B63,$E$1,"100","")</f>
        <v>2399</v>
      </c>
      <c r="F63">
        <f ca="1">thsiFinD("ths_close_price_stock",$B63,$F$1,"100","")</f>
        <v>2365</v>
      </c>
      <c r="G63" s="3">
        <f ca="1">E63/D63-1</f>
        <v>-0.00990507635163018</v>
      </c>
      <c r="H63" s="3">
        <f ca="1" t="shared" si="2"/>
        <v>-0.0141725719049604</v>
      </c>
      <c r="I63" s="4">
        <f ca="1">thsiFinD("ths_vol_future",B63,$E$1)</f>
        <v>606303</v>
      </c>
      <c r="J63" s="5">
        <f ca="1">thsiFinD("ths_vol_future",B63,$F$1)</f>
        <v>519321</v>
      </c>
    </row>
    <row r="64" spans="2:10">
      <c r="B64" s="2" t="s">
        <v>129</v>
      </c>
      <c r="C64" s="2" t="s">
        <v>130</v>
      </c>
      <c r="D64">
        <f ca="1">thsiFinD("ths_close_price_stock",$B64,$D$1,"100","")</f>
        <v>3576</v>
      </c>
      <c r="E64">
        <f ca="1">thsiFinD("ths_close_price_stock",$B64,$E$1,"100","")</f>
        <v>3582</v>
      </c>
      <c r="F64">
        <f ca="1">thsiFinD("ths_close_price_stock",$B64,$F$1,"100","")</f>
        <v>3585</v>
      </c>
      <c r="G64" s="3">
        <f ca="1">E64/D64-1</f>
        <v>0.00167785234899331</v>
      </c>
      <c r="H64" s="3">
        <f ca="1" t="shared" si="2"/>
        <v>0.000837520938023362</v>
      </c>
      <c r="I64" s="4">
        <f ca="1">thsiFinD("ths_vol_future",B64,$E$1)</f>
        <v>1288</v>
      </c>
      <c r="J64" s="5">
        <f ca="1">thsiFinD("ths_vol_future",B64,$F$1)</f>
        <v>5561</v>
      </c>
    </row>
    <row r="65" spans="2:10">
      <c r="B65" s="2" t="s">
        <v>131</v>
      </c>
      <c r="C65" s="2" t="s">
        <v>132</v>
      </c>
      <c r="D65">
        <f ca="1">thsiFinD("ths_close_price_stock",$B65,$D$1,"100","")</f>
        <v>5819</v>
      </c>
      <c r="E65">
        <f ca="1">thsiFinD("ths_close_price_stock",$B65,$E$1,"100","")</f>
        <v>5898</v>
      </c>
      <c r="F65">
        <f ca="1">thsiFinD("ths_close_price_stock",$B65,$F$1,"100","")</f>
        <v>5925</v>
      </c>
      <c r="G65" s="3">
        <f ca="1" t="shared" ref="G65:G89" si="4">E65/D65-1</f>
        <v>0.0135762158446469</v>
      </c>
      <c r="H65" s="3">
        <f ca="1" t="shared" si="2"/>
        <v>0.00457782299084442</v>
      </c>
      <c r="I65" s="4">
        <f ca="1">thsiFinD("ths_vol_future",B65,$E$1)</f>
        <v>194</v>
      </c>
      <c r="J65" s="5">
        <f ca="1">thsiFinD("ths_vol_future",B65,$F$1)</f>
        <v>46</v>
      </c>
    </row>
    <row r="66" spans="2:10">
      <c r="B66" s="2" t="s">
        <v>133</v>
      </c>
      <c r="C66" s="2" t="s">
        <v>134</v>
      </c>
      <c r="D66">
        <f ca="1">thsiFinD("ths_close_price_stock",$B66,$D$1,"100","")</f>
        <v>16000</v>
      </c>
      <c r="E66">
        <f ca="1">thsiFinD("ths_close_price_stock",$B66,$E$1,"100","")</f>
        <v>16145</v>
      </c>
      <c r="F66">
        <f ca="1">thsiFinD("ths_close_price_stock",$B66,$F$1,"100","")</f>
        <v>16225</v>
      </c>
      <c r="G66" s="3">
        <f ca="1" t="shared" si="4"/>
        <v>0.00906249999999997</v>
      </c>
      <c r="H66" s="3">
        <f ca="1" t="shared" si="2"/>
        <v>0.00495509445648801</v>
      </c>
      <c r="I66" s="4">
        <f ca="1">thsiFinD("ths_vol_future",B66,$E$1)</f>
        <v>326382</v>
      </c>
      <c r="J66" s="5">
        <f ca="1">thsiFinD("ths_vol_future",B66,$F$1)</f>
        <v>299408</v>
      </c>
    </row>
    <row r="67" spans="2:10">
      <c r="B67" s="2" t="s">
        <v>135</v>
      </c>
      <c r="C67" s="2" t="s">
        <v>136</v>
      </c>
      <c r="D67">
        <f ca="1">thsiFinD("ths_close_price_stock",$B67,$D$1,"100","")</f>
        <v>1202</v>
      </c>
      <c r="E67">
        <f ca="1">thsiFinD("ths_close_price_stock",$B67,$E$1,"100","")</f>
        <v>1256</v>
      </c>
      <c r="F67">
        <f ca="1">thsiFinD("ths_close_price_stock",$B67,$F$1,"100","")</f>
        <v>1240</v>
      </c>
      <c r="G67" s="3">
        <f ca="1" t="shared" si="4"/>
        <v>0.0449251247920133</v>
      </c>
      <c r="H67" s="3">
        <f ca="1" t="shared" si="2"/>
        <v>-0.0127388535031847</v>
      </c>
      <c r="I67" s="4">
        <f ca="1">thsiFinD("ths_vol_future",B67,$E$1)</f>
        <v>1401290</v>
      </c>
      <c r="J67" s="5">
        <f ca="1">thsiFinD("ths_vol_future",B67,$F$1)</f>
        <v>970537</v>
      </c>
    </row>
    <row r="68" spans="2:10">
      <c r="B68" s="2" t="s">
        <v>137</v>
      </c>
      <c r="C68" s="2" t="s">
        <v>138</v>
      </c>
      <c r="D68">
        <f ca="1">thsiFinD("ths_close_price_stock",$B68,$D$1,"100","")</f>
        <v>773.6</v>
      </c>
      <c r="E68">
        <f ca="1">thsiFinD("ths_close_price_stock",$B68,$E$1,"100","")</f>
        <v>834.6</v>
      </c>
      <c r="F68">
        <f ca="1">thsiFinD("ths_close_price_stock",$B68,$F$1,"100","")</f>
        <v>739.1</v>
      </c>
      <c r="G68" s="3">
        <f ca="1" t="shared" si="4"/>
        <v>0.0788521199586349</v>
      </c>
      <c r="H68" s="3">
        <f ca="1" t="shared" ref="H68:H87" si="5">F68/E68-1</f>
        <v>-0.114426072369998</v>
      </c>
      <c r="I68" s="4">
        <f ca="1">thsiFinD("ths_vol_future",B68,$E$1)</f>
        <v>140734</v>
      </c>
      <c r="J68" s="5">
        <f ca="1">thsiFinD("ths_vol_future",B68,$F$1)</f>
        <v>208071</v>
      </c>
    </row>
    <row r="69" spans="2:10">
      <c r="B69" s="2" t="s">
        <v>139</v>
      </c>
      <c r="C69" s="2" t="s">
        <v>140</v>
      </c>
      <c r="D69">
        <f ca="1">thsiFinD("ths_close_price_stock",$B69,$D$1,"100","")</f>
        <v>5932</v>
      </c>
      <c r="E69">
        <f ca="1">thsiFinD("ths_close_price_stock",$B69,$E$1,"100","")</f>
        <v>6120</v>
      </c>
      <c r="F69">
        <f ca="1">thsiFinD("ths_close_price_stock",$B69,$F$1,"100","")</f>
        <v>6100</v>
      </c>
      <c r="G69" s="3">
        <f ca="1" t="shared" si="4"/>
        <v>0.0316925151719487</v>
      </c>
      <c r="H69" s="3">
        <f ca="1" t="shared" si="5"/>
        <v>-0.00326797385620914</v>
      </c>
      <c r="I69" s="4">
        <f ca="1">thsiFinD("ths_vol_future",B69,$E$1)</f>
        <v>323783</v>
      </c>
      <c r="J69" s="5">
        <f ca="1">thsiFinD("ths_vol_future",B69,$F$1)</f>
        <v>284622</v>
      </c>
    </row>
    <row r="70" spans="2:10">
      <c r="B70" s="2" t="s">
        <v>141</v>
      </c>
      <c r="C70" s="2" t="s">
        <v>142</v>
      </c>
      <c r="D70">
        <f ca="1">thsiFinD("ths_close_price_stock",$B70,$D$1,"100","")</f>
        <v>2544</v>
      </c>
      <c r="E70">
        <f ca="1">thsiFinD("ths_close_price_stock",$B70,$E$1,"100","")</f>
        <v>2634</v>
      </c>
      <c r="F70">
        <f ca="1">thsiFinD("ths_close_price_stock",$B70,$F$1,"100","")</f>
        <v>2557</v>
      </c>
      <c r="G70" s="3">
        <f ca="1" t="shared" si="4"/>
        <v>0.0353773584905661</v>
      </c>
      <c r="H70" s="3">
        <f ca="1" t="shared" si="5"/>
        <v>-0.0292331055429005</v>
      </c>
      <c r="I70" s="4">
        <f ca="1">thsiFinD("ths_vol_future",B70,$E$1)</f>
        <v>455300</v>
      </c>
      <c r="J70" s="5">
        <f ca="1">thsiFinD("ths_vol_future",B70,$F$1)</f>
        <v>545075</v>
      </c>
    </row>
    <row r="71" spans="2:10">
      <c r="B71" s="2" t="s">
        <v>143</v>
      </c>
      <c r="C71" s="2" t="s">
        <v>144</v>
      </c>
      <c r="D71">
        <f ca="1">thsiFinD("ths_close_price_stock",$B71,$D$1,"100","")</f>
        <v>8455</v>
      </c>
      <c r="E71">
        <f ca="1">thsiFinD("ths_close_price_stock",$B71,$E$1,"100","")</f>
        <v>8575</v>
      </c>
      <c r="F71">
        <f ca="1">thsiFinD("ths_close_price_stock",$B71,$F$1,"100","")</f>
        <v>8605</v>
      </c>
      <c r="G71" s="3">
        <f ca="1" t="shared" si="4"/>
        <v>0.0141927853341217</v>
      </c>
      <c r="H71" s="3">
        <f ca="1" t="shared" si="5"/>
        <v>0.00349854227405255</v>
      </c>
      <c r="I71" s="4">
        <f ca="1">thsiFinD("ths_vol_future",B71,$E$1)</f>
        <v>221416</v>
      </c>
      <c r="J71" s="5">
        <f ca="1">thsiFinD("ths_vol_future",B71,$F$1)</f>
        <v>146108</v>
      </c>
    </row>
    <row r="72" spans="2:10">
      <c r="B72" s="2" t="s">
        <v>145</v>
      </c>
      <c r="C72" s="2" t="s">
        <v>146</v>
      </c>
      <c r="D72">
        <f ca="1">thsiFinD("ths_close_price_stock",$B72,$D$1,"100","")</f>
        <v>6400</v>
      </c>
      <c r="E72">
        <f ca="1">thsiFinD("ths_close_price_stock",$B72,$E$1,"100","")</f>
        <v>6556</v>
      </c>
      <c r="F72">
        <f ca="1">thsiFinD("ths_close_price_stock",$B72,$F$1,"100","")</f>
        <v>6480</v>
      </c>
      <c r="G72" s="3">
        <f ca="1" t="shared" si="4"/>
        <v>0.024375</v>
      </c>
      <c r="H72" s="3">
        <f ca="1" t="shared" si="5"/>
        <v>-0.0115924344112264</v>
      </c>
      <c r="I72" s="4">
        <f ca="1">thsiFinD("ths_vol_future",B72,$E$1)</f>
        <v>668201</v>
      </c>
      <c r="J72" s="5">
        <f ca="1">thsiFinD("ths_vol_future",B72,$F$1)</f>
        <v>897615</v>
      </c>
    </row>
    <row r="73" spans="2:10">
      <c r="B73" s="2" t="s">
        <v>147</v>
      </c>
      <c r="C73" s="2" t="s">
        <v>148</v>
      </c>
      <c r="D73">
        <f ca="1">thsiFinD("ths_close_price_stock",$B73,$D$1,"100","")</f>
        <v>342480</v>
      </c>
      <c r="E73">
        <f ca="1">thsiFinD("ths_close_price_stock",$B73,$E$1,"100","")</f>
        <v>328300</v>
      </c>
      <c r="F73">
        <f ca="1">thsiFinD("ths_close_price_stock",$B73,$F$1,"100","")</f>
        <v>347970</v>
      </c>
      <c r="G73" s="3">
        <f ca="1" t="shared" si="4"/>
        <v>-0.0414038775986919</v>
      </c>
      <c r="H73" s="3">
        <f ca="1" t="shared" si="5"/>
        <v>0.0599147121535182</v>
      </c>
      <c r="I73" s="4">
        <f ca="1">thsiFinD("ths_vol_future",B73,$E$1)</f>
        <v>268175</v>
      </c>
      <c r="J73" s="5">
        <f ca="1">thsiFinD("ths_vol_future",B73,$F$1)</f>
        <v>249342</v>
      </c>
    </row>
    <row r="74" spans="2:10">
      <c r="B74" s="2" t="s">
        <v>149</v>
      </c>
      <c r="C74" s="2" t="s">
        <v>150</v>
      </c>
      <c r="D74">
        <f ca="1">thsiFinD("ths_close_price_stock",$B74,$D$1,"100","")</f>
        <v>5164</v>
      </c>
      <c r="E74">
        <f ca="1">thsiFinD("ths_close_price_stock",$B74,$E$1,"100","")</f>
        <v>5188</v>
      </c>
      <c r="F74">
        <f ca="1">thsiFinD("ths_close_price_stock",$B74,$F$1,"100","")</f>
        <v>5210</v>
      </c>
      <c r="G74" s="3">
        <f ca="1" t="shared" si="4"/>
        <v>0.00464756003098366</v>
      </c>
      <c r="H74" s="3">
        <f ca="1" t="shared" si="5"/>
        <v>0.00424055512721666</v>
      </c>
      <c r="I74" s="4">
        <f ca="1">thsiFinD("ths_vol_future",B74,$E$1)</f>
        <v>326941</v>
      </c>
      <c r="J74" s="5">
        <f ca="1">thsiFinD("ths_vol_future",B74,$F$1)</f>
        <v>378624</v>
      </c>
    </row>
    <row r="75" spans="2:10">
      <c r="B75" s="2" t="s">
        <v>151</v>
      </c>
      <c r="C75" s="2" t="s">
        <v>152</v>
      </c>
      <c r="D75">
        <f ca="1">thsiFinD("ths_close_price_stock",$B75,$D$1,"100","")</f>
        <v>5439</v>
      </c>
      <c r="E75">
        <f ca="1">thsiFinD("ths_close_price_stock",$B75,$E$1,"100","")</f>
        <v>5453</v>
      </c>
      <c r="F75">
        <f ca="1">thsiFinD("ths_close_price_stock",$B75,$F$1,"100","")</f>
        <v>5429</v>
      </c>
      <c r="G75" s="3">
        <f ca="1" t="shared" si="4"/>
        <v>0.00257400257400264</v>
      </c>
      <c r="H75" s="3">
        <f ca="1" t="shared" si="5"/>
        <v>-0.00440124701998901</v>
      </c>
      <c r="I75" s="4">
        <f ca="1">thsiFinD("ths_vol_future",B75,$E$1)</f>
        <v>402573</v>
      </c>
      <c r="J75" s="5">
        <f ca="1">thsiFinD("ths_vol_future",B75,$F$1)</f>
        <v>270323</v>
      </c>
    </row>
    <row r="76" spans="2:10">
      <c r="B76" s="2" t="s">
        <v>153</v>
      </c>
      <c r="C76" s="2" t="s">
        <v>154</v>
      </c>
      <c r="D76">
        <f ca="1">thsiFinD("ths_close_price_stock",$B76,$D$1,"100","")</f>
        <v>14065</v>
      </c>
      <c r="E76">
        <f ca="1">thsiFinD("ths_close_price_stock",$B76,$E$1,"100","")</f>
        <v>14035</v>
      </c>
      <c r="F76">
        <f ca="1">thsiFinD("ths_close_price_stock",$B76,$F$1,"100","")</f>
        <v>14290</v>
      </c>
      <c r="G76" s="3">
        <f ca="1" t="shared" si="4"/>
        <v>-0.00213295414148595</v>
      </c>
      <c r="H76" s="3">
        <f ca="1" t="shared" si="5"/>
        <v>0.0181688635553972</v>
      </c>
      <c r="I76" s="4">
        <f ca="1">thsiFinD("ths_vol_future",B76,$E$1)</f>
        <v>175123</v>
      </c>
      <c r="J76" s="5">
        <f ca="1">thsiFinD("ths_vol_future",B76,$F$1)</f>
        <v>262223</v>
      </c>
    </row>
    <row r="77" spans="2:10">
      <c r="B77" s="2" t="s">
        <v>155</v>
      </c>
      <c r="C77" s="2" t="s">
        <v>156</v>
      </c>
      <c r="D77">
        <f ca="1">thsiFinD("ths_close_price_stock",$B77,$D$1,"100","")</f>
        <v>108.255</v>
      </c>
      <c r="E77">
        <f ca="1">thsiFinD("ths_close_price_stock",$B77,$E$1,"100","")</f>
        <v>108.145</v>
      </c>
      <c r="F77">
        <f ca="1">thsiFinD("ths_close_price_stock",$B77,$F$1,"100","")</f>
        <v>108.165</v>
      </c>
      <c r="G77" s="3">
        <f ca="1" t="shared" si="4"/>
        <v>-0.00101611934783608</v>
      </c>
      <c r="H77" s="3">
        <f ca="1" t="shared" si="5"/>
        <v>0.000184936890286203</v>
      </c>
      <c r="I77" s="4">
        <f ca="1">thsiFinD("ths_vol_future",B77,$E$1)</f>
        <v>111758</v>
      </c>
      <c r="J77" s="5">
        <f ca="1">thsiFinD("ths_vol_future",B77,$F$1)</f>
        <v>78058</v>
      </c>
    </row>
    <row r="78" spans="2:10">
      <c r="B78" s="2" t="s">
        <v>157</v>
      </c>
      <c r="C78" s="2" t="s">
        <v>158</v>
      </c>
      <c r="D78">
        <f ca="1">thsiFinD("ths_close_price_stock",$B78,$D$1,"100","")</f>
        <v>6650</v>
      </c>
      <c r="E78">
        <f ca="1">thsiFinD("ths_close_price_stock",$B78,$E$1,"100","")</f>
        <v>7134</v>
      </c>
      <c r="F78">
        <f ca="1">thsiFinD("ths_close_price_stock",$B78,$F$1,"100","")</f>
        <v>6694</v>
      </c>
      <c r="G78" s="3">
        <f ca="1" t="shared" si="4"/>
        <v>0.0727819548872179</v>
      </c>
      <c r="H78" s="3">
        <f ca="1" t="shared" si="5"/>
        <v>-0.0616764788337538</v>
      </c>
      <c r="I78" s="4">
        <f ca="1">thsiFinD("ths_vol_future",B78,$E$1)</f>
        <v>1719362</v>
      </c>
      <c r="J78" s="5">
        <f ca="1">thsiFinD("ths_vol_future",B78,$F$1)</f>
        <v>1697207</v>
      </c>
    </row>
    <row r="79" spans="2:10">
      <c r="B79" s="2" t="s">
        <v>159</v>
      </c>
      <c r="C79" s="2" t="s">
        <v>160</v>
      </c>
      <c r="D79">
        <f ca="1">thsiFinD("ths_close_price_stock",$B79,$D$1,"100","")</f>
        <v>105.985</v>
      </c>
      <c r="E79">
        <f ca="1">thsiFinD("ths_close_price_stock",$B79,$E$1,"100","")</f>
        <v>105.92</v>
      </c>
      <c r="F79">
        <f ca="1">thsiFinD("ths_close_price_stock",$B79,$F$1,"100","")</f>
        <v>105.915</v>
      </c>
      <c r="G79" s="3">
        <f ca="1" t="shared" si="4"/>
        <v>-0.000613294334103842</v>
      </c>
      <c r="H79" s="3">
        <f ca="1" t="shared" si="5"/>
        <v>-4.72054380664666e-5</v>
      </c>
      <c r="I79" s="4">
        <f ca="1">thsiFinD("ths_vol_future",B79,$E$1)</f>
        <v>108186</v>
      </c>
      <c r="J79" s="5">
        <f ca="1">thsiFinD("ths_vol_future",B79,$F$1)</f>
        <v>66738</v>
      </c>
    </row>
    <row r="80" spans="2:10">
      <c r="B80" s="2" t="s">
        <v>161</v>
      </c>
      <c r="C80" s="2" t="s">
        <v>162</v>
      </c>
      <c r="D80">
        <f ca="1">thsiFinD("ths_close_price_stock",$B80,$D$1,"100","")</f>
        <v>110.67</v>
      </c>
      <c r="E80">
        <f ca="1">thsiFinD("ths_close_price_stock",$B80,$E$1,"100","")</f>
        <v>110.71</v>
      </c>
      <c r="F80">
        <f ca="1">thsiFinD("ths_close_price_stock",$B80,$F$1,"100","")</f>
        <v>111.24</v>
      </c>
      <c r="G80" s="3">
        <f ca="1" t="shared" si="4"/>
        <v>0.000361434896539281</v>
      </c>
      <c r="H80" s="3">
        <f ca="1" t="shared" si="5"/>
        <v>0.00478728208833901</v>
      </c>
      <c r="I80" s="4">
        <f ca="1">thsiFinD("ths_vol_future",B80,$E$1)</f>
        <v>93662</v>
      </c>
      <c r="J80" s="5">
        <f ca="1">thsiFinD("ths_vol_future",B80,$F$1)</f>
        <v>84841</v>
      </c>
    </row>
    <row r="81" spans="2:10">
      <c r="B81" s="2" t="s">
        <v>163</v>
      </c>
      <c r="C81" s="2" t="s">
        <v>164</v>
      </c>
      <c r="D81">
        <f ca="1">thsiFinD("ths_close_price_stock",$B81,$D$1,"100","")</f>
        <v>102.524</v>
      </c>
      <c r="E81">
        <f ca="1">thsiFinD("ths_close_price_stock",$B81,$E$1,"100","")</f>
        <v>102.502</v>
      </c>
      <c r="F81">
        <f ca="1">thsiFinD("ths_close_price_stock",$B81,$F$1,"100","")</f>
        <v>102.478</v>
      </c>
      <c r="G81" s="3">
        <f ca="1" t="shared" si="4"/>
        <v>-0.000214583902305887</v>
      </c>
      <c r="H81" s="3">
        <f ca="1" t="shared" si="5"/>
        <v>-0.000234141772843421</v>
      </c>
      <c r="I81" s="4">
        <f ca="1">thsiFinD("ths_vol_future",B81,$E$1)</f>
        <v>52048</v>
      </c>
      <c r="J81" s="5">
        <f ca="1">thsiFinD("ths_vol_future",B81,$F$1)</f>
        <v>45045</v>
      </c>
    </row>
    <row r="82" spans="2:10">
      <c r="B82" s="2" t="s">
        <v>165</v>
      </c>
      <c r="C82" s="2" t="s">
        <v>166</v>
      </c>
      <c r="D82">
        <f ca="1">thsiFinD("ths_close_price_stock",$B82,$D$1,"100","")</f>
        <v>1841</v>
      </c>
      <c r="E82">
        <f ca="1">thsiFinD("ths_close_price_stock",$B82,$E$1,"100","")</f>
        <v>1884</v>
      </c>
      <c r="F82">
        <f ca="1">thsiFinD("ths_close_price_stock",$B82,$F$1,"100","")</f>
        <v>1864</v>
      </c>
      <c r="G82" s="3">
        <f ca="1" t="shared" si="4"/>
        <v>0.0233568712656165</v>
      </c>
      <c r="H82" s="3">
        <f ca="1" t="shared" si="5"/>
        <v>-0.0106157112526539</v>
      </c>
      <c r="I82" s="4">
        <f ca="1">thsiFinD("ths_vol_future",B82,$E$1)</f>
        <v>389938</v>
      </c>
      <c r="J82" s="5">
        <f ca="1">thsiFinD("ths_vol_future",B82,$F$1)</f>
        <v>167304</v>
      </c>
    </row>
    <row r="83" spans="2:10">
      <c r="B83" s="2" t="s">
        <v>167</v>
      </c>
      <c r="C83" s="2" t="s">
        <v>168</v>
      </c>
      <c r="D83">
        <f ca="1">thsiFinD("ths_close_price_stock",$B83,$D$1,"100","")</f>
        <v>5875</v>
      </c>
      <c r="E83">
        <f ca="1">thsiFinD("ths_close_price_stock",$B83,$E$1,"100","")</f>
        <v>6251</v>
      </c>
      <c r="F83">
        <f ca="1">thsiFinD("ths_close_price_stock",$B83,$F$1,"100","")</f>
        <v>5853</v>
      </c>
      <c r="G83" s="3">
        <f ca="1" t="shared" si="4"/>
        <v>0.0640000000000001</v>
      </c>
      <c r="H83" s="3">
        <f ca="1" t="shared" si="5"/>
        <v>-0.0636698128299472</v>
      </c>
      <c r="I83" s="4">
        <f ca="1">thsiFinD("ths_vol_future",B83,$E$1)</f>
        <v>2076859</v>
      </c>
      <c r="J83" s="5">
        <f ca="1">thsiFinD("ths_vol_future",B83,$F$1)</f>
        <v>1977737</v>
      </c>
    </row>
    <row r="84" spans="2:10">
      <c r="B84" s="2" t="s">
        <v>169</v>
      </c>
      <c r="C84" s="2" t="s">
        <v>170</v>
      </c>
      <c r="D84">
        <f ca="1">thsiFinD("ths_close_price_stock",$B84,$D$1,"100","")</f>
        <v>5878</v>
      </c>
      <c r="E84">
        <f ca="1">thsiFinD("ths_close_price_stock",$B84,$E$1,"100","")</f>
        <v>6261</v>
      </c>
      <c r="F84">
        <f ca="1">thsiFinD("ths_close_price_stock",$B84,$F$1,"100","")</f>
        <v>6261</v>
      </c>
      <c r="G84" s="3">
        <f ca="1" t="shared" si="4"/>
        <v>0.0651582170806397</v>
      </c>
      <c r="H84" s="3">
        <f ca="1" t="shared" si="5"/>
        <v>0</v>
      </c>
      <c r="I84" s="4">
        <f ca="1">thsiFinD("ths_vol_future",B84,$E$1)</f>
        <v>23754</v>
      </c>
      <c r="J84" s="5">
        <f ca="1">thsiFinD("ths_vol_future",B84,$F$1)</f>
        <v>26845</v>
      </c>
    </row>
    <row r="85" spans="2:10">
      <c r="B85" s="2" t="s">
        <v>171</v>
      </c>
      <c r="C85" s="2" t="s">
        <v>172</v>
      </c>
      <c r="D85">
        <f ca="1">thsiFinD("ths_close_price_stock",$B85,$D$1,"100","")</f>
        <v>3292</v>
      </c>
      <c r="E85">
        <f ca="1">thsiFinD("ths_close_price_stock",$B85,$E$1,"100","")</f>
        <v>3336</v>
      </c>
      <c r="F85">
        <f ca="1">thsiFinD("ths_close_price_stock",$B85,$F$1,"100","")</f>
        <v>3341</v>
      </c>
      <c r="G85" s="3">
        <f ca="1">E85/D85-1</f>
        <v>0.0133657351154313</v>
      </c>
      <c r="H85" s="3">
        <f ca="1" t="shared" si="5"/>
        <v>0.00149880095923272</v>
      </c>
      <c r="I85" s="4">
        <f ca="1">thsiFinD("ths_vol_future",B85,$E$1)</f>
        <v>131</v>
      </c>
      <c r="J85" s="5">
        <f ca="1">thsiFinD("ths_vol_future",B85,$F$1)</f>
        <v>99</v>
      </c>
    </row>
    <row r="86" spans="2:10">
      <c r="B86" s="2" t="s">
        <v>173</v>
      </c>
      <c r="C86" s="2" t="s">
        <v>174</v>
      </c>
      <c r="D86">
        <f ca="1">thsiFinD("ths_close_price_stock",$B86,$D$1,"100","")</f>
        <v>8628</v>
      </c>
      <c r="E86">
        <f ca="1">thsiFinD("ths_close_price_stock",$B86,$E$1,"100","")</f>
        <v>8740</v>
      </c>
      <c r="F86">
        <f ca="1">thsiFinD("ths_close_price_stock",$B86,$F$1,"100","")</f>
        <v>8594</v>
      </c>
      <c r="G86" s="3">
        <f ca="1">E86/D86-1</f>
        <v>0.0129809921186834</v>
      </c>
      <c r="H86" s="3">
        <f ca="1" t="shared" si="5"/>
        <v>-0.0167048054919908</v>
      </c>
      <c r="I86" s="4">
        <f ca="1">thsiFinD("ths_vol_future",B86,$E$1)</f>
        <v>270684</v>
      </c>
      <c r="J86" s="5">
        <f ca="1">thsiFinD("ths_vol_future",B86,$F$1)</f>
        <v>296544</v>
      </c>
    </row>
    <row r="87" spans="2:10">
      <c r="B87" s="2" t="s">
        <v>175</v>
      </c>
      <c r="C87" s="2" t="s">
        <v>176</v>
      </c>
      <c r="D87">
        <f ca="1">thsiFinD("ths_close_price_stock",$B87,$D$1,"100","")</f>
        <v>22935</v>
      </c>
      <c r="E87">
        <f ca="1">thsiFinD("ths_close_price_stock",$B87,$E$1,"100","")</f>
        <v>22800</v>
      </c>
      <c r="F87">
        <f ca="1">thsiFinD("ths_close_price_stock",$B87,$F$1,"100","")</f>
        <v>22975</v>
      </c>
      <c r="G87" s="3">
        <f ca="1">E87/D87-1</f>
        <v>-0.00588620013080443</v>
      </c>
      <c r="H87" s="3">
        <f ca="1" t="shared" si="5"/>
        <v>0.00767543859649122</v>
      </c>
      <c r="I87" s="4">
        <f ca="1">thsiFinD("ths_vol_future",B87,$E$1)</f>
        <v>120371</v>
      </c>
      <c r="J87" s="5">
        <f ca="1">thsiFinD("ths_vol_future",B87,$F$1)</f>
        <v>133880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H3C</cp:lastModifiedBy>
  <dcterms:created xsi:type="dcterms:W3CDTF">2026-03-24T07:01:22Z</dcterms:created>
  <dcterms:modified xsi:type="dcterms:W3CDTF">2026-03-24T07:52:15Z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EF1478EF11F14FE9A361A6EDC81A4ADC</vt:lpwstr>
  </property>
  <property fmtid="{D5CDD505-2E9C-101B-9397-08002B2CF9AE}" pid="3" name="KSOProductBuildVer">
    <vt:lpwstr>2052-11.8.2.12309</vt:lpwstr>
  </property>
</Properties>
</file>